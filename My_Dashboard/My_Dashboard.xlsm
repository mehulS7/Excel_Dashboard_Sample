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fa9b31052c38f51/Desktop/My_Dashboard/"/>
    </mc:Choice>
  </mc:AlternateContent>
  <bookViews>
    <workbookView xWindow="0" yWindow="0" windowWidth="22560" windowHeight="11290" tabRatio="633"/>
  </bookViews>
  <sheets>
    <sheet name="Dashboard" sheetId="1" r:id="rId1"/>
    <sheet name="Weekly_Report" sheetId="2" r:id="rId2"/>
    <sheet name="Monthly_report" sheetId="3" r:id="rId3"/>
    <sheet name="Monthly" sheetId="4" r:id="rId4"/>
    <sheet name="Weelky" sheetId="5" r:id="rId5"/>
    <sheet name="Daily" sheetId="6" r:id="rId6"/>
  </sheets>
  <definedNames>
    <definedName name="Month">OFFSET(Monthly!$B$7,0,0,MATCH(Monthly_report!$F$6,Monthly!$B$7:$B$13,0),1)</definedName>
    <definedName name="MonthAcc">OFFSET(Monthly!$G$7,0,3,MATCH(Monthly_report!$F$6,Monthly!$B$7:$B$13,0),1)</definedName>
    <definedName name="MonthAdd">OFFSET(Monthly!$G$7,0,4,MATCH(Monthly_report!$F$6,Monthly!$B$7:$B$13,0),1)</definedName>
    <definedName name="MonthC">OFFSET(Monthly!$G$7,0,0,MATCH(Monthly_report!$F$6,Monthly!$B$7:$B$13,0),1)</definedName>
    <definedName name="MonthCom">OFFSET(Monthly!$G$7,0,8,MATCH(Monthly_report!$F$6,Monthly!$B$7:$B$13,0),1)</definedName>
    <definedName name="MonthD">OFFSET(Monthly!$G$7,0,2,MATCH(Monthly_report!$F$6,Monthly!$B$7:$B$13,0),1)</definedName>
    <definedName name="MonthDMR">OFFSET(Monthly!$G$7,0,5,MATCH(Monthly_report!$F$6,Monthly!$B$7:$B$13,0),1)</definedName>
    <definedName name="MonthM">OFFSET(Monthly!$G$7,0,1,MATCH(Monthly_report!$F$6,Monthly!$B$7:$B$13,0),1)</definedName>
    <definedName name="MonthMed">OFFSET(Monthly!$G$7,0,7,MATCH(Monthly_report!$F$6,Monthly!$B$7:$B$13,0),1)</definedName>
    <definedName name="MonthSim">OFFSET(Monthly!$G$7,0,6,MATCH(Monthly_report!$F$6,Monthly!$B$7:$B$13,0),1)</definedName>
    <definedName name="Week">OFFSET(Weelky!$D$7,0,0,MATCH(Weekly_Report!$F$6,Weelky!$B$7:$B$31,0)+4,1)</definedName>
    <definedName name="WeekAcc">OFFSET(Weelky!$H$7,0,3,MATCH(Weekly_Report!$F$6,Weelky!$B$7:$B$31,0)+4,1)</definedName>
    <definedName name="WeekAdd">OFFSET(Weelky!$H$7,0,4,MATCH(Weekly_Report!$F$6,Weelky!$B$7:$B$31,0)+4,1)</definedName>
    <definedName name="WeekC">OFFSET(Weelky!$H$7,0,0,MATCH(Weekly_Report!$F$6,Weelky!$B$7:$B$31,0)+4,1)</definedName>
    <definedName name="WeekCom">OFFSET(Weelky!$H$7,0,8,MATCH(Weekly_Report!$F$6,Weelky!$B$7:$B$31,0)+4,1)</definedName>
    <definedName name="WeekD">OFFSET(Weelky!$H$7,0,2,MATCH(Weekly_Report!$F$6,Weelky!$B$7:$B$31,0)+4,1)</definedName>
    <definedName name="WeekDMR">OFFSET(Weelky!$H$7,0,5,MATCH(Weekly_Report!$F$6,Weelky!$B$7:$B$31,0)+4,1)</definedName>
    <definedName name="WeekM">OFFSET(Weelky!$H$7,0,1,MATCH(Weekly_Report!$F$6,Weelky!$B$7:$B$31,0)+4,1)</definedName>
    <definedName name="WeekMed">OFFSET(Weelky!$H$7,0,7,MATCH(Weekly_Report!$F$6,Weelky!$B$7:$B$31,0)+4,1)</definedName>
    <definedName name="WeekSim">OFFSET(Weelky!$H$7,0,6,MATCH(Weekly_Report!$F$6,Weelky!$B$7:$B$31,0)+4,1)</definedName>
    <definedName name="Year">Weekly_Report!$D$4:$D$6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" l="1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7" i="5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7" i="4"/>
  <c r="P20" i="4"/>
  <c r="O20" i="4"/>
  <c r="N20" i="4"/>
  <c r="M20" i="4"/>
  <c r="L20" i="4"/>
  <c r="K20" i="4"/>
  <c r="J20" i="4"/>
  <c r="I20" i="4"/>
  <c r="H20" i="4"/>
  <c r="G20" i="4"/>
  <c r="P19" i="4"/>
  <c r="O19" i="4"/>
  <c r="N19" i="4"/>
  <c r="M19" i="4"/>
  <c r="L19" i="4"/>
  <c r="K19" i="4"/>
  <c r="J19" i="4"/>
  <c r="I19" i="4"/>
  <c r="H19" i="4"/>
  <c r="G19" i="4"/>
  <c r="P18" i="4"/>
  <c r="O18" i="4"/>
  <c r="N18" i="4"/>
  <c r="M18" i="4"/>
  <c r="L18" i="4"/>
  <c r="K18" i="4"/>
  <c r="J18" i="4"/>
  <c r="I18" i="4"/>
  <c r="H18" i="4"/>
  <c r="G18" i="4"/>
  <c r="P17" i="4"/>
  <c r="O17" i="4"/>
  <c r="N17" i="4"/>
  <c r="M17" i="4"/>
  <c r="L17" i="4"/>
  <c r="K17" i="4"/>
  <c r="J17" i="4"/>
  <c r="I17" i="4"/>
  <c r="H17" i="4"/>
  <c r="G17" i="4"/>
  <c r="P16" i="4"/>
  <c r="O16" i="4"/>
  <c r="N16" i="4"/>
  <c r="M16" i="4"/>
  <c r="L16" i="4"/>
  <c r="K16" i="4"/>
  <c r="J16" i="4"/>
  <c r="I16" i="4"/>
  <c r="H16" i="4"/>
  <c r="G16" i="4"/>
  <c r="P15" i="4"/>
  <c r="O15" i="4"/>
  <c r="N15" i="4"/>
  <c r="M15" i="4"/>
  <c r="L15" i="4"/>
  <c r="K15" i="4"/>
  <c r="J15" i="4"/>
  <c r="I15" i="4"/>
  <c r="H15" i="4"/>
  <c r="G15" i="4"/>
  <c r="P14" i="4"/>
  <c r="O14" i="4"/>
  <c r="N14" i="4"/>
  <c r="M14" i="4"/>
  <c r="L14" i="4"/>
  <c r="K14" i="4"/>
  <c r="J14" i="4"/>
  <c r="I14" i="4"/>
  <c r="H14" i="4"/>
  <c r="G14" i="4"/>
  <c r="P13" i="4"/>
  <c r="O13" i="4"/>
  <c r="N13" i="4"/>
  <c r="M13" i="4"/>
  <c r="L13" i="4"/>
  <c r="K13" i="4"/>
  <c r="J13" i="4"/>
  <c r="I13" i="4"/>
  <c r="H13" i="4"/>
  <c r="G13" i="4"/>
  <c r="E20" i="4"/>
  <c r="E19" i="4"/>
  <c r="E18" i="4"/>
  <c r="E17" i="4"/>
  <c r="E16" i="4"/>
  <c r="E15" i="4"/>
  <c r="E14" i="4"/>
  <c r="E13" i="4"/>
  <c r="Q31" i="5"/>
  <c r="P31" i="5"/>
  <c r="O31" i="5"/>
  <c r="N31" i="5"/>
  <c r="M31" i="5"/>
  <c r="L31" i="5"/>
  <c r="K31" i="5"/>
  <c r="J31" i="5"/>
  <c r="I31" i="5"/>
  <c r="H31" i="5"/>
  <c r="Q30" i="5"/>
  <c r="P30" i="5"/>
  <c r="O30" i="5"/>
  <c r="N30" i="5"/>
  <c r="M30" i="5"/>
  <c r="L30" i="5"/>
  <c r="K30" i="5"/>
  <c r="J30" i="5"/>
  <c r="I30" i="5"/>
  <c r="H30" i="5"/>
  <c r="Q29" i="5"/>
  <c r="P29" i="5"/>
  <c r="O12" i="4" s="1"/>
  <c r="O29" i="5"/>
  <c r="N29" i="5"/>
  <c r="M29" i="5"/>
  <c r="L29" i="5"/>
  <c r="K12" i="4" s="1"/>
  <c r="K29" i="5"/>
  <c r="J29" i="5"/>
  <c r="I29" i="5"/>
  <c r="H29" i="5"/>
  <c r="G12" i="4" s="1"/>
  <c r="Q28" i="5"/>
  <c r="P12" i="4" s="1"/>
  <c r="P28" i="5"/>
  <c r="O28" i="5"/>
  <c r="N12" i="4" s="1"/>
  <c r="N28" i="5"/>
  <c r="M12" i="4" s="1"/>
  <c r="M28" i="5"/>
  <c r="L12" i="4" s="1"/>
  <c r="L28" i="5"/>
  <c r="K28" i="5"/>
  <c r="J12" i="4" s="1"/>
  <c r="J28" i="5"/>
  <c r="I12" i="4" s="1"/>
  <c r="I28" i="5"/>
  <c r="H12" i="4" s="1"/>
  <c r="H28" i="5"/>
  <c r="Q27" i="5"/>
  <c r="P27" i="5"/>
  <c r="O27" i="5"/>
  <c r="N27" i="5"/>
  <c r="M27" i="5"/>
  <c r="L27" i="5"/>
  <c r="K27" i="5"/>
  <c r="J27" i="5"/>
  <c r="I27" i="5"/>
  <c r="H27" i="5"/>
  <c r="Q26" i="5"/>
  <c r="P26" i="5"/>
  <c r="O26" i="5"/>
  <c r="N26" i="5"/>
  <c r="M26" i="5"/>
  <c r="L26" i="5"/>
  <c r="K26" i="5"/>
  <c r="J26" i="5"/>
  <c r="I26" i="5"/>
  <c r="H26" i="5"/>
  <c r="Q25" i="5"/>
  <c r="P25" i="5"/>
  <c r="O25" i="5"/>
  <c r="N25" i="5"/>
  <c r="M25" i="5"/>
  <c r="L25" i="5"/>
  <c r="K25" i="5"/>
  <c r="J25" i="5"/>
  <c r="I25" i="5"/>
  <c r="H25" i="5"/>
  <c r="Q24" i="5"/>
  <c r="P11" i="4" s="1"/>
  <c r="P24" i="5"/>
  <c r="O11" i="4" s="1"/>
  <c r="O24" i="5"/>
  <c r="N11" i="4" s="1"/>
  <c r="N24" i="5"/>
  <c r="M11" i="4" s="1"/>
  <c r="M24" i="5"/>
  <c r="L11" i="4" s="1"/>
  <c r="L24" i="5"/>
  <c r="K11" i="4" s="1"/>
  <c r="K24" i="5"/>
  <c r="J11" i="4" s="1"/>
  <c r="J24" i="5"/>
  <c r="I11" i="4" s="1"/>
  <c r="I24" i="5"/>
  <c r="H11" i="4" s="1"/>
  <c r="H24" i="5"/>
  <c r="G11" i="4" s="1"/>
  <c r="Q23" i="5"/>
  <c r="P23" i="5"/>
  <c r="O23" i="5"/>
  <c r="N23" i="5"/>
  <c r="M23" i="5"/>
  <c r="L23" i="5"/>
  <c r="K23" i="5"/>
  <c r="J23" i="5"/>
  <c r="I23" i="5"/>
  <c r="H23" i="5"/>
  <c r="Q22" i="5"/>
  <c r="P22" i="5"/>
  <c r="O22" i="5"/>
  <c r="N22" i="5"/>
  <c r="M22" i="5"/>
  <c r="L22" i="5"/>
  <c r="K22" i="5"/>
  <c r="J22" i="5"/>
  <c r="I22" i="5"/>
  <c r="H22" i="5"/>
  <c r="Q21" i="5"/>
  <c r="P21" i="5"/>
  <c r="O21" i="5"/>
  <c r="N21" i="5"/>
  <c r="M21" i="5"/>
  <c r="L21" i="5"/>
  <c r="K21" i="5"/>
  <c r="J21" i="5"/>
  <c r="I21" i="5"/>
  <c r="H21" i="5"/>
  <c r="Q20" i="5"/>
  <c r="P20" i="5"/>
  <c r="O20" i="5"/>
  <c r="N20" i="5"/>
  <c r="M20" i="5"/>
  <c r="L20" i="5"/>
  <c r="K20" i="5"/>
  <c r="J20" i="5"/>
  <c r="I20" i="5"/>
  <c r="H20" i="5"/>
  <c r="Q19" i="5"/>
  <c r="P10" i="4" s="1"/>
  <c r="P19" i="5"/>
  <c r="O10" i="4" s="1"/>
  <c r="O19" i="5"/>
  <c r="N10" i="4" s="1"/>
  <c r="N19" i="5"/>
  <c r="M10" i="4" s="1"/>
  <c r="M19" i="5"/>
  <c r="L10" i="4" s="1"/>
  <c r="L19" i="5"/>
  <c r="K10" i="4" s="1"/>
  <c r="K19" i="5"/>
  <c r="J10" i="4" s="1"/>
  <c r="J19" i="5"/>
  <c r="I10" i="4" s="1"/>
  <c r="I19" i="5"/>
  <c r="H10" i="4" s="1"/>
  <c r="H19" i="5"/>
  <c r="G10" i="4" s="1"/>
  <c r="Q18" i="5"/>
  <c r="P18" i="5"/>
  <c r="O18" i="5"/>
  <c r="N18" i="5"/>
  <c r="M18" i="5"/>
  <c r="L18" i="5"/>
  <c r="K18" i="5"/>
  <c r="J18" i="5"/>
  <c r="I18" i="5"/>
  <c r="H18" i="5"/>
  <c r="Q17" i="5"/>
  <c r="P17" i="5"/>
  <c r="O17" i="5"/>
  <c r="N17" i="5"/>
  <c r="M17" i="5"/>
  <c r="L17" i="5"/>
  <c r="K17" i="5"/>
  <c r="J17" i="5"/>
  <c r="I17" i="5"/>
  <c r="H17" i="5"/>
  <c r="Q16" i="5"/>
  <c r="P16" i="5"/>
  <c r="O16" i="5"/>
  <c r="N16" i="5"/>
  <c r="M9" i="4" s="1"/>
  <c r="M16" i="5"/>
  <c r="L16" i="5"/>
  <c r="K16" i="5"/>
  <c r="J16" i="5"/>
  <c r="I9" i="4" s="1"/>
  <c r="I16" i="5"/>
  <c r="H16" i="5"/>
  <c r="Q15" i="5"/>
  <c r="P9" i="4" s="1"/>
  <c r="P15" i="5"/>
  <c r="O9" i="4" s="1"/>
  <c r="O15" i="5"/>
  <c r="N9" i="4" s="1"/>
  <c r="N15" i="5"/>
  <c r="M15" i="5"/>
  <c r="L9" i="4" s="1"/>
  <c r="L15" i="5"/>
  <c r="K9" i="4" s="1"/>
  <c r="K15" i="5"/>
  <c r="J9" i="4" s="1"/>
  <c r="J15" i="5"/>
  <c r="I15" i="5"/>
  <c r="H9" i="4" s="1"/>
  <c r="H15" i="5"/>
  <c r="G9" i="4" s="1"/>
  <c r="Q14" i="5"/>
  <c r="P14" i="5"/>
  <c r="O14" i="5"/>
  <c r="N14" i="5"/>
  <c r="M14" i="5"/>
  <c r="L14" i="5"/>
  <c r="K14" i="5"/>
  <c r="J14" i="5"/>
  <c r="I14" i="5"/>
  <c r="H14" i="5"/>
  <c r="Q13" i="5"/>
  <c r="P13" i="5"/>
  <c r="O13" i="5"/>
  <c r="N13" i="5"/>
  <c r="M13" i="5"/>
  <c r="L13" i="5"/>
  <c r="K13" i="5"/>
  <c r="J13" i="5"/>
  <c r="I13" i="5"/>
  <c r="H13" i="5"/>
  <c r="Q12" i="5"/>
  <c r="P12" i="5"/>
  <c r="O12" i="5"/>
  <c r="N12" i="5"/>
  <c r="M12" i="5"/>
  <c r="L12" i="5"/>
  <c r="K12" i="5"/>
  <c r="J12" i="5"/>
  <c r="I12" i="5"/>
  <c r="H12" i="5"/>
  <c r="Q11" i="5"/>
  <c r="P11" i="5"/>
  <c r="O8" i="4" s="1"/>
  <c r="O11" i="5"/>
  <c r="N11" i="5"/>
  <c r="M11" i="5"/>
  <c r="L11" i="5"/>
  <c r="K8" i="4" s="1"/>
  <c r="K11" i="5"/>
  <c r="J11" i="5"/>
  <c r="I11" i="5"/>
  <c r="H11" i="5"/>
  <c r="G8" i="4" s="1"/>
  <c r="Q10" i="5"/>
  <c r="P8" i="4" s="1"/>
  <c r="P10" i="5"/>
  <c r="O10" i="5"/>
  <c r="N8" i="4" s="1"/>
  <c r="N10" i="5"/>
  <c r="M8" i="4" s="1"/>
  <c r="M10" i="5"/>
  <c r="L8" i="4" s="1"/>
  <c r="L10" i="5"/>
  <c r="K10" i="5"/>
  <c r="J8" i="4" s="1"/>
  <c r="J10" i="5"/>
  <c r="I8" i="4" s="1"/>
  <c r="I10" i="5"/>
  <c r="H8" i="4" s="1"/>
  <c r="H10" i="5"/>
  <c r="Q9" i="5"/>
  <c r="P9" i="5"/>
  <c r="O9" i="5"/>
  <c r="N9" i="5"/>
  <c r="M9" i="5"/>
  <c r="L9" i="5"/>
  <c r="K9" i="5"/>
  <c r="J9" i="5"/>
  <c r="I9" i="5"/>
  <c r="H9" i="5"/>
  <c r="Q8" i="5"/>
  <c r="P8" i="5"/>
  <c r="O8" i="5"/>
  <c r="N8" i="5"/>
  <c r="M7" i="4" s="1"/>
  <c r="M8" i="5"/>
  <c r="L8" i="5"/>
  <c r="K8" i="5"/>
  <c r="J8" i="5"/>
  <c r="I7" i="4" s="1"/>
  <c r="I8" i="5"/>
  <c r="H8" i="5"/>
  <c r="Q7" i="5"/>
  <c r="P7" i="4" s="1"/>
  <c r="P7" i="5"/>
  <c r="O7" i="4" s="1"/>
  <c r="O7" i="5"/>
  <c r="N7" i="4" s="1"/>
  <c r="N7" i="5"/>
  <c r="M7" i="5"/>
  <c r="L7" i="4" s="1"/>
  <c r="L7" i="5"/>
  <c r="K7" i="4" s="1"/>
  <c r="K7" i="5"/>
  <c r="J7" i="4" s="1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J7" i="5"/>
  <c r="I7" i="5"/>
  <c r="H7" i="4" s="1"/>
  <c r="H7" i="5"/>
  <c r="G7" i="4" s="1"/>
  <c r="D21" i="5"/>
  <c r="A21" i="5" s="1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22" i="6"/>
  <c r="A23" i="6"/>
  <c r="A24" i="6"/>
  <c r="A21" i="6"/>
  <c r="D21" i="6"/>
  <c r="D20" i="6"/>
  <c r="E9" i="4" l="1"/>
  <c r="E10" i="4"/>
  <c r="E11" i="4"/>
  <c r="E12" i="4"/>
  <c r="E8" i="4"/>
  <c r="E7" i="4"/>
  <c r="C21" i="5"/>
  <c r="D22" i="5"/>
  <c r="A7" i="4"/>
  <c r="F8" i="3"/>
  <c r="C22" i="5" l="1"/>
  <c r="D23" i="5"/>
  <c r="A22" i="5"/>
  <c r="F8" i="2"/>
  <c r="D13" i="6"/>
  <c r="D14" i="6"/>
  <c r="A23" i="5" l="1"/>
  <c r="D24" i="5"/>
  <c r="C23" i="5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C10" i="4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9" i="4"/>
  <c r="C8" i="4"/>
  <c r="C7" i="5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7" i="6"/>
  <c r="A7" i="5"/>
  <c r="D8" i="5"/>
  <c r="C8" i="5" s="1"/>
  <c r="D8" i="6"/>
  <c r="D9" i="6"/>
  <c r="D10" i="6"/>
  <c r="D11" i="6"/>
  <c r="D12" i="6"/>
  <c r="D15" i="6"/>
  <c r="D16" i="6"/>
  <c r="D17" i="6"/>
  <c r="D18" i="6"/>
  <c r="D19" i="6"/>
  <c r="D7" i="6"/>
  <c r="D25" i="5" l="1"/>
  <c r="C24" i="5"/>
  <c r="A24" i="5"/>
  <c r="D9" i="5"/>
  <c r="A8" i="5"/>
  <c r="C25" i="5" l="1"/>
  <c r="A25" i="5"/>
  <c r="D26" i="5"/>
  <c r="D10" i="5"/>
  <c r="C9" i="5"/>
  <c r="A9" i="5"/>
  <c r="C26" i="5" l="1"/>
  <c r="D27" i="5"/>
  <c r="A26" i="5"/>
  <c r="D11" i="5"/>
  <c r="C10" i="5"/>
  <c r="A10" i="5"/>
  <c r="C27" i="5" l="1"/>
  <c r="A27" i="5"/>
  <c r="D28" i="5"/>
  <c r="D12" i="5"/>
  <c r="C11" i="5"/>
  <c r="A11" i="5"/>
  <c r="C28" i="5" l="1"/>
  <c r="A28" i="5"/>
  <c r="D29" i="5"/>
  <c r="D13" i="5"/>
  <c r="C12" i="5"/>
  <c r="A12" i="5"/>
  <c r="C29" i="5" l="1"/>
  <c r="D30" i="5"/>
  <c r="A29" i="5"/>
  <c r="D14" i="5"/>
  <c r="C13" i="5"/>
  <c r="A13" i="5"/>
  <c r="C30" i="5" l="1"/>
  <c r="A30" i="5"/>
  <c r="D31" i="5"/>
  <c r="D15" i="5"/>
  <c r="C14" i="5"/>
  <c r="A14" i="5"/>
  <c r="C31" i="5" l="1"/>
  <c r="A31" i="5"/>
  <c r="D16" i="5"/>
  <c r="C15" i="5"/>
  <c r="A15" i="5"/>
  <c r="D17" i="5" l="1"/>
  <c r="C16" i="5"/>
  <c r="A16" i="5"/>
  <c r="D18" i="5" l="1"/>
  <c r="C17" i="5"/>
  <c r="A17" i="5"/>
  <c r="D19" i="5" l="1"/>
  <c r="C18" i="5"/>
  <c r="A18" i="5"/>
  <c r="D20" i="5" l="1"/>
  <c r="C19" i="5"/>
  <c r="A19" i="5"/>
  <c r="C20" i="5" l="1"/>
  <c r="A20" i="5"/>
</calcChain>
</file>

<file path=xl/sharedStrings.xml><?xml version="1.0" encoding="utf-8"?>
<sst xmlns="http://schemas.openxmlformats.org/spreadsheetml/2006/main" count="240" uniqueCount="52">
  <si>
    <t>please click here to view results</t>
  </si>
  <si>
    <t>please click here to view daily volume</t>
  </si>
  <si>
    <t>DCR REPORTS</t>
  </si>
  <si>
    <t>Enter Year</t>
  </si>
  <si>
    <t>Enter Month</t>
  </si>
  <si>
    <t>Enter Graph Type</t>
  </si>
  <si>
    <t>Jun</t>
  </si>
  <si>
    <t>Jul</t>
  </si>
  <si>
    <t>Aug</t>
  </si>
  <si>
    <t>Sep</t>
  </si>
  <si>
    <t>Oct</t>
  </si>
  <si>
    <t>Nov</t>
  </si>
  <si>
    <t>Dec</t>
  </si>
  <si>
    <t>DCR's Processed by Satus:</t>
  </si>
  <si>
    <t>DCR's Processed by Category:</t>
  </si>
  <si>
    <t>DCR's Processed by Type:</t>
  </si>
  <si>
    <t>Current Week</t>
  </si>
  <si>
    <t>*Month - The graph is generated from the selected month till the months with incoming calls</t>
  </si>
  <si>
    <t>*Weekly graph is generated for the number of weeks in the selected month with incoming calls</t>
  </si>
  <si>
    <t>* Year 2015 has data since July till December</t>
  </si>
  <si>
    <t>* Year 2016 has data starting from January</t>
  </si>
  <si>
    <t>Current Open DCR's</t>
  </si>
  <si>
    <t>WEEKLY REPORT</t>
  </si>
  <si>
    <t>Date</t>
  </si>
  <si>
    <t>Day</t>
  </si>
  <si>
    <t>Fresh Requests</t>
  </si>
  <si>
    <t>Carry forward Requests from previous day</t>
  </si>
  <si>
    <t>Total DCRs in the Queue at the start of the day</t>
  </si>
  <si>
    <t>DCR's Processed by Status:</t>
  </si>
  <si>
    <t>Complete</t>
  </si>
  <si>
    <t>Manager Approved</t>
  </si>
  <si>
    <t>Deferred</t>
  </si>
  <si>
    <t>Account DCR's</t>
  </si>
  <si>
    <t xml:space="preserve">Address DCR's </t>
  </si>
  <si>
    <t>DMR's</t>
  </si>
  <si>
    <t>Simple</t>
  </si>
  <si>
    <t>Medium</t>
  </si>
  <si>
    <t>Complex</t>
  </si>
  <si>
    <t>Total Processed</t>
  </si>
  <si>
    <t>Week Ending</t>
  </si>
  <si>
    <t>Total Weekly</t>
  </si>
  <si>
    <t>Total Incoming</t>
  </si>
  <si>
    <t>Current Month</t>
  </si>
  <si>
    <t>MONTHLY REPORT</t>
  </si>
  <si>
    <t>Monday</t>
  </si>
  <si>
    <t>Tuesday</t>
  </si>
  <si>
    <t>Wednesday</t>
  </si>
  <si>
    <t>Thursday</t>
  </si>
  <si>
    <t>Friday</t>
  </si>
  <si>
    <t>Saturday</t>
  </si>
  <si>
    <t>Sunday</t>
  </si>
  <si>
    <t>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</si>
</sst>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;@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i/>
      <sz val="11"/>
      <color theme="2" tint="-9.9978637043366805E-2"/>
      <name val="Calibri"/>
      <family val="2"/>
      <scheme val="minor"/>
    </font>
    <font>
      <sz val="11"/>
      <color theme="0" tint="-0.499984740745262"/>
      <name val="Wingdings 3"/>
      <family val="1"/>
      <charset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FEDED"/>
        <bgColor indexed="64"/>
      </patternFill>
    </fill>
  </fills>
  <borders count="6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dashed">
        <color auto="1"/>
      </right>
      <top style="medium">
        <color auto="1"/>
      </top>
      <bottom/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dashed">
        <color auto="1"/>
      </top>
      <bottom/>
      <diagonal/>
    </border>
    <border>
      <left/>
      <right style="medium">
        <color auto="1"/>
      </right>
      <top style="dashed">
        <color auto="1"/>
      </top>
      <bottom/>
      <diagonal/>
    </border>
    <border>
      <left style="medium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/>
      <right style="dashed">
        <color auto="1"/>
      </right>
      <top style="dashed">
        <color auto="1"/>
      </top>
      <bottom/>
      <diagonal/>
    </border>
    <border>
      <left style="medium">
        <color auto="1"/>
      </left>
      <right style="dashed">
        <color auto="1"/>
      </right>
      <top style="dashed">
        <color auto="1"/>
      </top>
      <bottom/>
      <diagonal/>
    </border>
    <border>
      <left style="medium">
        <color auto="1"/>
      </left>
      <right style="dashed">
        <color auto="1"/>
      </right>
      <top/>
      <bottom style="medium">
        <color auto="1"/>
      </bottom>
      <diagonal/>
    </border>
    <border>
      <left style="dashed">
        <color auto="1"/>
      </left>
      <right/>
      <top style="medium">
        <color auto="1"/>
      </top>
      <bottom/>
      <diagonal/>
    </border>
    <border>
      <left style="dashed">
        <color auto="1"/>
      </left>
      <right/>
      <top/>
      <bottom/>
      <diagonal/>
    </border>
    <border>
      <left style="dashed">
        <color auto="1"/>
      </left>
      <right/>
      <top/>
      <bottom style="medium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/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/>
      <diagonal/>
    </border>
    <border>
      <left style="dashed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/>
      <right style="dashed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/>
      <top style="medium">
        <color auto="1"/>
      </top>
      <bottom style="dashed">
        <color auto="1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/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5" tint="-0.499984740745262"/>
      </left>
      <right/>
      <top style="thick">
        <color theme="5" tint="-0.499984740745262"/>
      </top>
      <bottom/>
      <diagonal/>
    </border>
    <border>
      <left/>
      <right/>
      <top style="thick">
        <color theme="5" tint="-0.499984740745262"/>
      </top>
      <bottom/>
      <diagonal/>
    </border>
    <border>
      <left/>
      <right style="thick">
        <color theme="5" tint="-0.499984740745262"/>
      </right>
      <top style="thick">
        <color theme="5" tint="-0.499984740745262"/>
      </top>
      <bottom/>
      <diagonal/>
    </border>
    <border>
      <left style="thick">
        <color theme="5" tint="-0.499984740745262"/>
      </left>
      <right/>
      <top/>
      <bottom/>
      <diagonal/>
    </border>
    <border>
      <left/>
      <right style="thick">
        <color theme="5" tint="-0.499984740745262"/>
      </right>
      <top/>
      <bottom/>
      <diagonal/>
    </border>
    <border>
      <left style="thick">
        <color theme="5" tint="-0.499984740745262"/>
      </left>
      <right/>
      <top/>
      <bottom style="thick">
        <color theme="5" tint="-0.499984740745262"/>
      </bottom>
      <diagonal/>
    </border>
    <border>
      <left/>
      <right/>
      <top/>
      <bottom style="thick">
        <color theme="5" tint="-0.499984740745262"/>
      </bottom>
      <diagonal/>
    </border>
    <border>
      <left/>
      <right style="thick">
        <color theme="5" tint="-0.499984740745262"/>
      </right>
      <top/>
      <bottom style="thick">
        <color theme="5" tint="-0.499984740745262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vertical="center" wrapText="1"/>
    </xf>
    <xf numFmtId="0" fontId="0" fillId="3" borderId="28" xfId="0" applyFill="1" applyBorder="1" applyAlignment="1">
      <alignment horizontal="center" vertical="center"/>
    </xf>
    <xf numFmtId="0" fontId="0" fillId="3" borderId="31" xfId="0" applyFill="1" applyBorder="1"/>
    <xf numFmtId="0" fontId="0" fillId="3" borderId="32" xfId="0" applyFill="1" applyBorder="1"/>
    <xf numFmtId="0" fontId="0" fillId="3" borderId="33" xfId="0" applyFill="1" applyBorder="1"/>
    <xf numFmtId="0" fontId="0" fillId="3" borderId="26" xfId="0" applyFill="1" applyBorder="1"/>
    <xf numFmtId="0" fontId="0" fillId="3" borderId="34" xfId="0" applyFill="1" applyBorder="1" applyAlignment="1">
      <alignment horizontal="center" vertical="center"/>
    </xf>
    <xf numFmtId="0" fontId="0" fillId="3" borderId="35" xfId="0" applyFill="1" applyBorder="1"/>
    <xf numFmtId="0" fontId="0" fillId="3" borderId="36" xfId="0" applyFill="1" applyBorder="1"/>
    <xf numFmtId="0" fontId="0" fillId="3" borderId="37" xfId="0" applyFill="1" applyBorder="1"/>
    <xf numFmtId="0" fontId="0" fillId="3" borderId="38" xfId="0" applyFill="1" applyBorder="1"/>
    <xf numFmtId="0" fontId="0" fillId="2" borderId="28" xfId="0" applyFill="1" applyBorder="1" applyAlignment="1">
      <alignment horizontal="center" vertical="center"/>
    </xf>
    <xf numFmtId="0" fontId="0" fillId="2" borderId="31" xfId="0" applyFill="1" applyBorder="1"/>
    <xf numFmtId="0" fontId="0" fillId="2" borderId="32" xfId="0" applyFill="1" applyBorder="1"/>
    <xf numFmtId="0" fontId="0" fillId="2" borderId="33" xfId="0" applyFill="1" applyBorder="1"/>
    <xf numFmtId="0" fontId="0" fillId="2" borderId="26" xfId="0" applyFill="1" applyBorder="1"/>
    <xf numFmtId="0" fontId="0" fillId="2" borderId="41" xfId="0" applyFill="1" applyBorder="1" applyAlignment="1">
      <alignment horizontal="center" vertical="center"/>
    </xf>
    <xf numFmtId="0" fontId="0" fillId="2" borderId="44" xfId="0" applyFill="1" applyBorder="1"/>
    <xf numFmtId="0" fontId="0" fillId="2" borderId="45" xfId="0" applyFill="1" applyBorder="1"/>
    <xf numFmtId="0" fontId="0" fillId="2" borderId="46" xfId="0" applyFill="1" applyBorder="1"/>
    <xf numFmtId="0" fontId="0" fillId="2" borderId="39" xfId="0" applyFill="1" applyBorder="1"/>
    <xf numFmtId="0" fontId="0" fillId="2" borderId="34" xfId="0" applyFill="1" applyBorder="1" applyAlignment="1">
      <alignment horizontal="center" vertical="center"/>
    </xf>
    <xf numFmtId="0" fontId="0" fillId="2" borderId="35" xfId="0" applyFill="1" applyBorder="1"/>
    <xf numFmtId="0" fontId="0" fillId="2" borderId="36" xfId="0" applyFill="1" applyBorder="1"/>
    <xf numFmtId="0" fontId="0" fillId="2" borderId="37" xfId="0" applyFill="1" applyBorder="1"/>
    <xf numFmtId="0" fontId="0" fillId="2" borderId="38" xfId="0" applyFill="1" applyBorder="1"/>
    <xf numFmtId="0" fontId="0" fillId="2" borderId="47" xfId="0" applyFill="1" applyBorder="1" applyAlignment="1">
      <alignment horizontal="center" vertical="center"/>
    </xf>
    <xf numFmtId="0" fontId="0" fillId="2" borderId="15" xfId="0" applyFill="1" applyBorder="1"/>
    <xf numFmtId="0" fontId="0" fillId="2" borderId="48" xfId="0" applyFill="1" applyBorder="1"/>
    <xf numFmtId="0" fontId="0" fillId="2" borderId="49" xfId="0" applyFill="1" applyBorder="1"/>
    <xf numFmtId="0" fontId="0" fillId="2" borderId="12" xfId="0" applyFill="1" applyBorder="1"/>
    <xf numFmtId="164" fontId="0" fillId="3" borderId="31" xfId="0" applyNumberFormat="1" applyFill="1" applyBorder="1" applyAlignment="1">
      <alignment horizontal="center" vertical="center"/>
    </xf>
    <xf numFmtId="164" fontId="0" fillId="2" borderId="44" xfId="0" applyNumberFormat="1" applyFill="1" applyBorder="1" applyAlignment="1">
      <alignment horizontal="center" vertical="center"/>
    </xf>
    <xf numFmtId="164" fontId="0" fillId="2" borderId="35" xfId="0" applyNumberFormat="1" applyFill="1" applyBorder="1" applyAlignment="1">
      <alignment horizontal="center" vertical="center"/>
    </xf>
    <xf numFmtId="164" fontId="0" fillId="3" borderId="35" xfId="0" applyNumberFormat="1" applyFill="1" applyBorder="1" applyAlignment="1">
      <alignment horizontal="center" vertical="center"/>
    </xf>
    <xf numFmtId="0" fontId="7" fillId="2" borderId="0" xfId="0" applyFont="1" applyFill="1"/>
    <xf numFmtId="164" fontId="0" fillId="2" borderId="31" xfId="0" applyNumberFormat="1" applyFill="1" applyBorder="1" applyAlignment="1">
      <alignment horizontal="center" vertical="center"/>
    </xf>
    <xf numFmtId="164" fontId="0" fillId="2" borderId="15" xfId="0" applyNumberFormat="1" applyFill="1" applyBorder="1" applyAlignment="1">
      <alignment horizontal="center" vertical="center"/>
    </xf>
    <xf numFmtId="0" fontId="0" fillId="11" borderId="54" xfId="0" applyFill="1" applyBorder="1" applyAlignment="1">
      <alignment horizontal="center"/>
    </xf>
    <xf numFmtId="0" fontId="0" fillId="10" borderId="54" xfId="0" applyFill="1" applyBorder="1"/>
    <xf numFmtId="0" fontId="0" fillId="2" borderId="58" xfId="0" applyFill="1" applyBorder="1"/>
    <xf numFmtId="0" fontId="0" fillId="2" borderId="59" xfId="0" applyFill="1" applyBorder="1"/>
    <xf numFmtId="0" fontId="0" fillId="2" borderId="60" xfId="0" applyFill="1" applyBorder="1"/>
    <xf numFmtId="0" fontId="0" fillId="2" borderId="61" xfId="0" applyFill="1" applyBorder="1"/>
    <xf numFmtId="0" fontId="0" fillId="2" borderId="0" xfId="0" applyFill="1" applyBorder="1"/>
    <xf numFmtId="0" fontId="0" fillId="2" borderId="62" xfId="0" applyFill="1" applyBorder="1"/>
    <xf numFmtId="0" fontId="1" fillId="2" borderId="0" xfId="0" applyFont="1" applyFill="1" applyBorder="1" applyAlignment="1">
      <alignment vertical="center"/>
    </xf>
    <xf numFmtId="0" fontId="0" fillId="11" borderId="0" xfId="0" applyFill="1" applyBorder="1"/>
    <xf numFmtId="0" fontId="0" fillId="11" borderId="0" xfId="0" applyFill="1" applyBorder="1" applyAlignment="1">
      <alignment horizontal="center" vertical="center"/>
    </xf>
    <xf numFmtId="0" fontId="0" fillId="2" borderId="63" xfId="0" applyFill="1" applyBorder="1"/>
    <xf numFmtId="0" fontId="0" fillId="2" borderId="64" xfId="0" applyFill="1" applyBorder="1"/>
    <xf numFmtId="0" fontId="0" fillId="2" borderId="65" xfId="0" applyFill="1" applyBorder="1"/>
    <xf numFmtId="0" fontId="1" fillId="3" borderId="0" xfId="0" applyFont="1" applyFill="1"/>
    <xf numFmtId="0" fontId="0" fillId="3" borderId="0" xfId="0" applyFill="1"/>
    <xf numFmtId="0" fontId="8" fillId="3" borderId="0" xfId="0" applyFont="1" applyFill="1"/>
    <xf numFmtId="0" fontId="0" fillId="10" borderId="0" xfId="0" applyFill="1" applyBorder="1"/>
    <xf numFmtId="0" fontId="0" fillId="10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9" fillId="12" borderId="0" xfId="0" applyFont="1" applyFill="1" applyBorder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0" fillId="2" borderId="0" xfId="0" applyFill="1" applyAlignment="1">
      <alignment horizontal="center"/>
    </xf>
    <xf numFmtId="0" fontId="5" fillId="4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1" borderId="54" xfId="0" applyFill="1" applyBorder="1" applyAlignment="1">
      <alignment horizontal="center"/>
    </xf>
    <xf numFmtId="0" fontId="5" fillId="9" borderId="0" xfId="0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0" fillId="10" borderId="55" xfId="0" applyFill="1" applyBorder="1" applyAlignment="1">
      <alignment horizontal="center"/>
    </xf>
    <xf numFmtId="0" fontId="0" fillId="10" borderId="56" xfId="0" applyFill="1" applyBorder="1" applyAlignment="1">
      <alignment horizontal="center"/>
    </xf>
    <xf numFmtId="0" fontId="0" fillId="10" borderId="57" xfId="0" applyFill="1" applyBorder="1" applyAlignment="1">
      <alignment horizontal="center"/>
    </xf>
    <xf numFmtId="0" fontId="1" fillId="4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" borderId="50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0" fillId="5" borderId="52" xfId="0" applyFill="1" applyBorder="1" applyAlignment="1">
      <alignment horizontal="center" vertical="center"/>
    </xf>
    <xf numFmtId="0" fontId="0" fillId="5" borderId="53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 wrapText="1"/>
    </xf>
    <xf numFmtId="0" fontId="0" fillId="6" borderId="23" xfId="0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0" fillId="6" borderId="2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8" borderId="3" xfId="0" applyFill="1" applyBorder="1" applyAlignment="1">
      <alignment horizontal="center" vertical="center" wrapText="1"/>
    </xf>
    <xf numFmtId="0" fontId="0" fillId="8" borderId="5" xfId="0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  <xf numFmtId="0" fontId="0" fillId="10" borderId="17" xfId="0" applyFill="1" applyBorder="1" applyAlignment="1">
      <alignment horizontal="center" vertical="center"/>
    </xf>
    <xf numFmtId="0" fontId="0" fillId="10" borderId="18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 wrapText="1"/>
    </xf>
    <xf numFmtId="0" fontId="0" fillId="7" borderId="18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10" borderId="16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2" borderId="43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164" fontId="0" fillId="2" borderId="40" xfId="0" applyNumberFormat="1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3" borderId="42" xfId="0" applyFill="1" applyBorder="1" applyAlignment="1">
      <alignment horizontal="center"/>
    </xf>
    <xf numFmtId="0" fontId="0" fillId="3" borderId="43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1" borderId="19" xfId="0" applyFill="1" applyBorder="1" applyAlignment="1">
      <alignment horizontal="center" vertical="center" wrapText="1"/>
    </xf>
    <xf numFmtId="0" fontId="0" fillId="11" borderId="9" xfId="0" applyFill="1" applyBorder="1" applyAlignment="1">
      <alignment horizontal="center" vertical="center" wrapText="1"/>
    </xf>
    <xf numFmtId="0" fontId="0" fillId="11" borderId="20" xfId="0" applyFill="1" applyBorder="1" applyAlignment="1">
      <alignment horizontal="center" vertical="center" wrapText="1"/>
    </xf>
    <xf numFmtId="0" fontId="0" fillId="11" borderId="10" xfId="0" applyFill="1" applyBorder="1" applyAlignment="1">
      <alignment horizontal="center" vertical="center" wrapText="1"/>
    </xf>
    <xf numFmtId="0" fontId="0" fillId="11" borderId="21" xfId="0" applyFill="1" applyBorder="1" applyAlignment="1">
      <alignment horizontal="center" vertical="center" wrapText="1"/>
    </xf>
    <xf numFmtId="0" fontId="0" fillId="11" borderId="1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3" borderId="30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FEDED"/>
      <color rgb="FFE1DFDF"/>
      <color rgb="FFD4D2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DCR's Processed by Status:</a:t>
            </a:r>
          </a:p>
        </c:rich>
      </c:tx>
      <c:layout>
        <c:manualLayout>
          <c:xMode val="edge"/>
          <c:yMode val="edge"/>
          <c:x val="0.34927778217105931"/>
          <c:y val="4.07407407407407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508738236988683E-2"/>
          <c:y val="0.18374999999999997"/>
          <c:w val="0.89019685039370078"/>
          <c:h val="0.51128054826480018"/>
        </c:manualLayout>
      </c:layout>
      <c:lineChart>
        <c:grouping val="standard"/>
        <c:varyColors val="0"/>
        <c:ser>
          <c:idx val="0"/>
          <c:order val="0"/>
          <c:tx>
            <c:v>Complete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[0]!Week</c:f>
              <c:numCache>
                <c:formatCode>[$-409]d\-mmm\-yy;@</c:formatCode>
                <c:ptCount val="13"/>
                <c:pt idx="0">
                  <c:v>42896</c:v>
                </c:pt>
                <c:pt idx="1">
                  <c:v>42903</c:v>
                </c:pt>
                <c:pt idx="2">
                  <c:v>42910</c:v>
                </c:pt>
                <c:pt idx="3">
                  <c:v>42917</c:v>
                </c:pt>
                <c:pt idx="4">
                  <c:v>42924</c:v>
                </c:pt>
                <c:pt idx="5">
                  <c:v>42931</c:v>
                </c:pt>
                <c:pt idx="6">
                  <c:v>42938</c:v>
                </c:pt>
                <c:pt idx="7">
                  <c:v>42945</c:v>
                </c:pt>
                <c:pt idx="8">
                  <c:v>42952</c:v>
                </c:pt>
                <c:pt idx="9">
                  <c:v>42959</c:v>
                </c:pt>
                <c:pt idx="10">
                  <c:v>42966</c:v>
                </c:pt>
                <c:pt idx="11">
                  <c:v>42973</c:v>
                </c:pt>
                <c:pt idx="12">
                  <c:v>42980</c:v>
                </c:pt>
              </c:numCache>
            </c:numRef>
          </c:cat>
          <c:val>
            <c:numRef>
              <c:f>[0]!WeekC</c:f>
              <c:numCache>
                <c:formatCode>General</c:formatCode>
                <c:ptCount val="13"/>
                <c:pt idx="0">
                  <c:v>427</c:v>
                </c:pt>
                <c:pt idx="1">
                  <c:v>709</c:v>
                </c:pt>
                <c:pt idx="2">
                  <c:v>427</c:v>
                </c:pt>
                <c:pt idx="3">
                  <c:v>709</c:v>
                </c:pt>
                <c:pt idx="4">
                  <c:v>427</c:v>
                </c:pt>
                <c:pt idx="5">
                  <c:v>709</c:v>
                </c:pt>
                <c:pt idx="6">
                  <c:v>427</c:v>
                </c:pt>
                <c:pt idx="7">
                  <c:v>709</c:v>
                </c:pt>
                <c:pt idx="8">
                  <c:v>427</c:v>
                </c:pt>
                <c:pt idx="9">
                  <c:v>709</c:v>
                </c:pt>
                <c:pt idx="10">
                  <c:v>427</c:v>
                </c:pt>
                <c:pt idx="11">
                  <c:v>709</c:v>
                </c:pt>
                <c:pt idx="12">
                  <c:v>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EE-4854-9671-D62C83682ACE}"/>
            </c:ext>
          </c:extLst>
        </c:ser>
        <c:ser>
          <c:idx val="1"/>
          <c:order val="1"/>
          <c:tx>
            <c:v>Manager Approved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[0]!Week</c:f>
              <c:numCache>
                <c:formatCode>[$-409]d\-mmm\-yy;@</c:formatCode>
                <c:ptCount val="13"/>
                <c:pt idx="0">
                  <c:v>42896</c:v>
                </c:pt>
                <c:pt idx="1">
                  <c:v>42903</c:v>
                </c:pt>
                <c:pt idx="2">
                  <c:v>42910</c:v>
                </c:pt>
                <c:pt idx="3">
                  <c:v>42917</c:v>
                </c:pt>
                <c:pt idx="4">
                  <c:v>42924</c:v>
                </c:pt>
                <c:pt idx="5">
                  <c:v>42931</c:v>
                </c:pt>
                <c:pt idx="6">
                  <c:v>42938</c:v>
                </c:pt>
                <c:pt idx="7">
                  <c:v>42945</c:v>
                </c:pt>
                <c:pt idx="8">
                  <c:v>42952</c:v>
                </c:pt>
                <c:pt idx="9">
                  <c:v>42959</c:v>
                </c:pt>
                <c:pt idx="10">
                  <c:v>42966</c:v>
                </c:pt>
                <c:pt idx="11">
                  <c:v>42973</c:v>
                </c:pt>
                <c:pt idx="12">
                  <c:v>42980</c:v>
                </c:pt>
              </c:numCache>
            </c:numRef>
          </c:cat>
          <c:val>
            <c:numRef>
              <c:f>[0]!WeekM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EE-4854-9671-D62C83682ACE}"/>
            </c:ext>
          </c:extLst>
        </c:ser>
        <c:ser>
          <c:idx val="2"/>
          <c:order val="2"/>
          <c:tx>
            <c:v>Deferred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[0]!Week</c:f>
              <c:numCache>
                <c:formatCode>[$-409]d\-mmm\-yy;@</c:formatCode>
                <c:ptCount val="13"/>
                <c:pt idx="0">
                  <c:v>42896</c:v>
                </c:pt>
                <c:pt idx="1">
                  <c:v>42903</c:v>
                </c:pt>
                <c:pt idx="2">
                  <c:v>42910</c:v>
                </c:pt>
                <c:pt idx="3">
                  <c:v>42917</c:v>
                </c:pt>
                <c:pt idx="4">
                  <c:v>42924</c:v>
                </c:pt>
                <c:pt idx="5">
                  <c:v>42931</c:v>
                </c:pt>
                <c:pt idx="6">
                  <c:v>42938</c:v>
                </c:pt>
                <c:pt idx="7">
                  <c:v>42945</c:v>
                </c:pt>
                <c:pt idx="8">
                  <c:v>42952</c:v>
                </c:pt>
                <c:pt idx="9">
                  <c:v>42959</c:v>
                </c:pt>
                <c:pt idx="10">
                  <c:v>42966</c:v>
                </c:pt>
                <c:pt idx="11">
                  <c:v>42973</c:v>
                </c:pt>
                <c:pt idx="12">
                  <c:v>42980</c:v>
                </c:pt>
              </c:numCache>
            </c:numRef>
          </c:cat>
          <c:val>
            <c:numRef>
              <c:f>[0]!WeekD</c:f>
              <c:numCache>
                <c:formatCode>General</c:formatCode>
                <c:ptCount val="13"/>
                <c:pt idx="0">
                  <c:v>36</c:v>
                </c:pt>
                <c:pt idx="1">
                  <c:v>87</c:v>
                </c:pt>
                <c:pt idx="2">
                  <c:v>36</c:v>
                </c:pt>
                <c:pt idx="3">
                  <c:v>87</c:v>
                </c:pt>
                <c:pt idx="4">
                  <c:v>36</c:v>
                </c:pt>
                <c:pt idx="5">
                  <c:v>87</c:v>
                </c:pt>
                <c:pt idx="6">
                  <c:v>36</c:v>
                </c:pt>
                <c:pt idx="7">
                  <c:v>87</c:v>
                </c:pt>
                <c:pt idx="8">
                  <c:v>36</c:v>
                </c:pt>
                <c:pt idx="9">
                  <c:v>87</c:v>
                </c:pt>
                <c:pt idx="10">
                  <c:v>36</c:v>
                </c:pt>
                <c:pt idx="11">
                  <c:v>87</c:v>
                </c:pt>
                <c:pt idx="12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EE-4854-9671-D62C83682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418784"/>
        <c:axId val="383569424"/>
      </c:lineChart>
      <c:dateAx>
        <c:axId val="378418784"/>
        <c:scaling>
          <c:orientation val="minMax"/>
        </c:scaling>
        <c:delete val="0"/>
        <c:axPos val="b"/>
        <c:numFmt formatCode="[$-409]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69424"/>
        <c:crosses val="autoZero"/>
        <c:auto val="1"/>
        <c:lblOffset val="100"/>
        <c:baseTimeUnit val="days"/>
      </c:dateAx>
      <c:valAx>
        <c:axId val="38356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1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24684719288138"/>
          <c:y val="0.89039311752697581"/>
          <c:w val="0.4898283172956307"/>
          <c:h val="6.26745333713508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DCR's Processed by Category: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Account DCR'S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[0]!Week</c:f>
              <c:numCache>
                <c:formatCode>[$-409]d\-mmm\-yy;@</c:formatCode>
                <c:ptCount val="13"/>
                <c:pt idx="0">
                  <c:v>42896</c:v>
                </c:pt>
                <c:pt idx="1">
                  <c:v>42903</c:v>
                </c:pt>
                <c:pt idx="2">
                  <c:v>42910</c:v>
                </c:pt>
                <c:pt idx="3">
                  <c:v>42917</c:v>
                </c:pt>
                <c:pt idx="4">
                  <c:v>42924</c:v>
                </c:pt>
                <c:pt idx="5">
                  <c:v>42931</c:v>
                </c:pt>
                <c:pt idx="6">
                  <c:v>42938</c:v>
                </c:pt>
                <c:pt idx="7">
                  <c:v>42945</c:v>
                </c:pt>
                <c:pt idx="8">
                  <c:v>42952</c:v>
                </c:pt>
                <c:pt idx="9">
                  <c:v>42959</c:v>
                </c:pt>
                <c:pt idx="10">
                  <c:v>42966</c:v>
                </c:pt>
                <c:pt idx="11">
                  <c:v>42973</c:v>
                </c:pt>
                <c:pt idx="12">
                  <c:v>42980</c:v>
                </c:pt>
              </c:numCache>
            </c:numRef>
          </c:cat>
          <c:val>
            <c:numRef>
              <c:f>[0]!WeekAcc</c:f>
              <c:numCache>
                <c:formatCode>General</c:formatCode>
                <c:ptCount val="13"/>
                <c:pt idx="0">
                  <c:v>181</c:v>
                </c:pt>
                <c:pt idx="1">
                  <c:v>310</c:v>
                </c:pt>
                <c:pt idx="2">
                  <c:v>181</c:v>
                </c:pt>
                <c:pt idx="3">
                  <c:v>310</c:v>
                </c:pt>
                <c:pt idx="4">
                  <c:v>181</c:v>
                </c:pt>
                <c:pt idx="5">
                  <c:v>310</c:v>
                </c:pt>
                <c:pt idx="6">
                  <c:v>181</c:v>
                </c:pt>
                <c:pt idx="7">
                  <c:v>310</c:v>
                </c:pt>
                <c:pt idx="8">
                  <c:v>181</c:v>
                </c:pt>
                <c:pt idx="9">
                  <c:v>310</c:v>
                </c:pt>
                <c:pt idx="10">
                  <c:v>181</c:v>
                </c:pt>
                <c:pt idx="11">
                  <c:v>310</c:v>
                </c:pt>
                <c:pt idx="12">
                  <c:v>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AC-457F-8A19-DFA156258EA2}"/>
            </c:ext>
          </c:extLst>
        </c:ser>
        <c:ser>
          <c:idx val="1"/>
          <c:order val="1"/>
          <c:tx>
            <c:v>Address DCR'S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[0]!Week</c:f>
              <c:numCache>
                <c:formatCode>[$-409]d\-mmm\-yy;@</c:formatCode>
                <c:ptCount val="13"/>
                <c:pt idx="0">
                  <c:v>42896</c:v>
                </c:pt>
                <c:pt idx="1">
                  <c:v>42903</c:v>
                </c:pt>
                <c:pt idx="2">
                  <c:v>42910</c:v>
                </c:pt>
                <c:pt idx="3">
                  <c:v>42917</c:v>
                </c:pt>
                <c:pt idx="4">
                  <c:v>42924</c:v>
                </c:pt>
                <c:pt idx="5">
                  <c:v>42931</c:v>
                </c:pt>
                <c:pt idx="6">
                  <c:v>42938</c:v>
                </c:pt>
                <c:pt idx="7">
                  <c:v>42945</c:v>
                </c:pt>
                <c:pt idx="8">
                  <c:v>42952</c:v>
                </c:pt>
                <c:pt idx="9">
                  <c:v>42959</c:v>
                </c:pt>
                <c:pt idx="10">
                  <c:v>42966</c:v>
                </c:pt>
                <c:pt idx="11">
                  <c:v>42973</c:v>
                </c:pt>
                <c:pt idx="12">
                  <c:v>42980</c:v>
                </c:pt>
              </c:numCache>
            </c:numRef>
          </c:cat>
          <c:val>
            <c:numRef>
              <c:f>[0]!WeekAdd</c:f>
              <c:numCache>
                <c:formatCode>General</c:formatCode>
                <c:ptCount val="13"/>
                <c:pt idx="0">
                  <c:v>260</c:v>
                </c:pt>
                <c:pt idx="1">
                  <c:v>447</c:v>
                </c:pt>
                <c:pt idx="2">
                  <c:v>260</c:v>
                </c:pt>
                <c:pt idx="3">
                  <c:v>447</c:v>
                </c:pt>
                <c:pt idx="4">
                  <c:v>260</c:v>
                </c:pt>
                <c:pt idx="5">
                  <c:v>447</c:v>
                </c:pt>
                <c:pt idx="6">
                  <c:v>260</c:v>
                </c:pt>
                <c:pt idx="7">
                  <c:v>447</c:v>
                </c:pt>
                <c:pt idx="8">
                  <c:v>260</c:v>
                </c:pt>
                <c:pt idx="9">
                  <c:v>447</c:v>
                </c:pt>
                <c:pt idx="10">
                  <c:v>260</c:v>
                </c:pt>
                <c:pt idx="11">
                  <c:v>447</c:v>
                </c:pt>
                <c:pt idx="12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AC-457F-8A19-DFA156258EA2}"/>
            </c:ext>
          </c:extLst>
        </c:ser>
        <c:ser>
          <c:idx val="2"/>
          <c:order val="2"/>
          <c:tx>
            <c:v>DMR'S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[0]!Week</c:f>
              <c:numCache>
                <c:formatCode>[$-409]d\-mmm\-yy;@</c:formatCode>
                <c:ptCount val="13"/>
                <c:pt idx="0">
                  <c:v>42896</c:v>
                </c:pt>
                <c:pt idx="1">
                  <c:v>42903</c:v>
                </c:pt>
                <c:pt idx="2">
                  <c:v>42910</c:v>
                </c:pt>
                <c:pt idx="3">
                  <c:v>42917</c:v>
                </c:pt>
                <c:pt idx="4">
                  <c:v>42924</c:v>
                </c:pt>
                <c:pt idx="5">
                  <c:v>42931</c:v>
                </c:pt>
                <c:pt idx="6">
                  <c:v>42938</c:v>
                </c:pt>
                <c:pt idx="7">
                  <c:v>42945</c:v>
                </c:pt>
                <c:pt idx="8">
                  <c:v>42952</c:v>
                </c:pt>
                <c:pt idx="9">
                  <c:v>42959</c:v>
                </c:pt>
                <c:pt idx="10">
                  <c:v>42966</c:v>
                </c:pt>
                <c:pt idx="11">
                  <c:v>42973</c:v>
                </c:pt>
                <c:pt idx="12">
                  <c:v>42980</c:v>
                </c:pt>
              </c:numCache>
            </c:numRef>
          </c:cat>
          <c:val>
            <c:numRef>
              <c:f>[0]!WeekDMR</c:f>
              <c:numCache>
                <c:formatCode>General</c:formatCode>
                <c:ptCount val="13"/>
                <c:pt idx="0">
                  <c:v>22</c:v>
                </c:pt>
                <c:pt idx="1">
                  <c:v>39</c:v>
                </c:pt>
                <c:pt idx="2">
                  <c:v>22</c:v>
                </c:pt>
                <c:pt idx="3">
                  <c:v>39</c:v>
                </c:pt>
                <c:pt idx="4">
                  <c:v>22</c:v>
                </c:pt>
                <c:pt idx="5">
                  <c:v>39</c:v>
                </c:pt>
                <c:pt idx="6">
                  <c:v>22</c:v>
                </c:pt>
                <c:pt idx="7">
                  <c:v>39</c:v>
                </c:pt>
                <c:pt idx="8">
                  <c:v>22</c:v>
                </c:pt>
                <c:pt idx="9">
                  <c:v>39</c:v>
                </c:pt>
                <c:pt idx="10">
                  <c:v>22</c:v>
                </c:pt>
                <c:pt idx="11">
                  <c:v>39</c:v>
                </c:pt>
                <c:pt idx="12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AC-457F-8A19-DFA156258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201824"/>
        <c:axId val="255201408"/>
      </c:lineChart>
      <c:dateAx>
        <c:axId val="255201824"/>
        <c:scaling>
          <c:orientation val="minMax"/>
        </c:scaling>
        <c:delete val="0"/>
        <c:axPos val="b"/>
        <c:numFmt formatCode="[$-409]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201408"/>
        <c:crosses val="autoZero"/>
        <c:auto val="1"/>
        <c:lblOffset val="100"/>
        <c:baseTimeUnit val="days"/>
      </c:dateAx>
      <c:valAx>
        <c:axId val="25520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20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DCR's Processed by Type: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Simple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[0]!Week</c:f>
              <c:numCache>
                <c:formatCode>[$-409]d\-mmm\-yy;@</c:formatCode>
                <c:ptCount val="13"/>
                <c:pt idx="0">
                  <c:v>42896</c:v>
                </c:pt>
                <c:pt idx="1">
                  <c:v>42903</c:v>
                </c:pt>
                <c:pt idx="2">
                  <c:v>42910</c:v>
                </c:pt>
                <c:pt idx="3">
                  <c:v>42917</c:v>
                </c:pt>
                <c:pt idx="4">
                  <c:v>42924</c:v>
                </c:pt>
                <c:pt idx="5">
                  <c:v>42931</c:v>
                </c:pt>
                <c:pt idx="6">
                  <c:v>42938</c:v>
                </c:pt>
                <c:pt idx="7">
                  <c:v>42945</c:v>
                </c:pt>
                <c:pt idx="8">
                  <c:v>42952</c:v>
                </c:pt>
                <c:pt idx="9">
                  <c:v>42959</c:v>
                </c:pt>
                <c:pt idx="10">
                  <c:v>42966</c:v>
                </c:pt>
                <c:pt idx="11">
                  <c:v>42973</c:v>
                </c:pt>
                <c:pt idx="12">
                  <c:v>42980</c:v>
                </c:pt>
              </c:numCache>
            </c:numRef>
          </c:cat>
          <c:val>
            <c:numRef>
              <c:f>[0]!WeekSim</c:f>
              <c:numCache>
                <c:formatCode>General</c:formatCode>
                <c:ptCount val="13"/>
                <c:pt idx="0">
                  <c:v>8</c:v>
                </c:pt>
                <c:pt idx="1">
                  <c:v>19</c:v>
                </c:pt>
                <c:pt idx="2">
                  <c:v>8</c:v>
                </c:pt>
                <c:pt idx="3">
                  <c:v>19</c:v>
                </c:pt>
                <c:pt idx="4">
                  <c:v>8</c:v>
                </c:pt>
                <c:pt idx="5">
                  <c:v>19</c:v>
                </c:pt>
                <c:pt idx="6">
                  <c:v>8</c:v>
                </c:pt>
                <c:pt idx="7">
                  <c:v>19</c:v>
                </c:pt>
                <c:pt idx="8">
                  <c:v>8</c:v>
                </c:pt>
                <c:pt idx="9">
                  <c:v>19</c:v>
                </c:pt>
                <c:pt idx="10">
                  <c:v>8</c:v>
                </c:pt>
                <c:pt idx="11">
                  <c:v>19</c:v>
                </c:pt>
                <c:pt idx="12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36-4E46-9C92-59076382B0A6}"/>
            </c:ext>
          </c:extLst>
        </c:ser>
        <c:ser>
          <c:idx val="1"/>
          <c:order val="1"/>
          <c:tx>
            <c:v>Medium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[0]!Week</c:f>
              <c:numCache>
                <c:formatCode>[$-409]d\-mmm\-yy;@</c:formatCode>
                <c:ptCount val="13"/>
                <c:pt idx="0">
                  <c:v>42896</c:v>
                </c:pt>
                <c:pt idx="1">
                  <c:v>42903</c:v>
                </c:pt>
                <c:pt idx="2">
                  <c:v>42910</c:v>
                </c:pt>
                <c:pt idx="3">
                  <c:v>42917</c:v>
                </c:pt>
                <c:pt idx="4">
                  <c:v>42924</c:v>
                </c:pt>
                <c:pt idx="5">
                  <c:v>42931</c:v>
                </c:pt>
                <c:pt idx="6">
                  <c:v>42938</c:v>
                </c:pt>
                <c:pt idx="7">
                  <c:v>42945</c:v>
                </c:pt>
                <c:pt idx="8">
                  <c:v>42952</c:v>
                </c:pt>
                <c:pt idx="9">
                  <c:v>42959</c:v>
                </c:pt>
                <c:pt idx="10">
                  <c:v>42966</c:v>
                </c:pt>
                <c:pt idx="11">
                  <c:v>42973</c:v>
                </c:pt>
                <c:pt idx="12">
                  <c:v>42980</c:v>
                </c:pt>
              </c:numCache>
            </c:numRef>
          </c:cat>
          <c:val>
            <c:numRef>
              <c:f>[0]!WeekMed</c:f>
              <c:numCache>
                <c:formatCode>General</c:formatCode>
                <c:ptCount val="13"/>
                <c:pt idx="0">
                  <c:v>282</c:v>
                </c:pt>
                <c:pt idx="1">
                  <c:v>465</c:v>
                </c:pt>
                <c:pt idx="2">
                  <c:v>282</c:v>
                </c:pt>
                <c:pt idx="3">
                  <c:v>465</c:v>
                </c:pt>
                <c:pt idx="4">
                  <c:v>282</c:v>
                </c:pt>
                <c:pt idx="5">
                  <c:v>465</c:v>
                </c:pt>
                <c:pt idx="6">
                  <c:v>282</c:v>
                </c:pt>
                <c:pt idx="7">
                  <c:v>465</c:v>
                </c:pt>
                <c:pt idx="8">
                  <c:v>282</c:v>
                </c:pt>
                <c:pt idx="9">
                  <c:v>465</c:v>
                </c:pt>
                <c:pt idx="10">
                  <c:v>282</c:v>
                </c:pt>
                <c:pt idx="11">
                  <c:v>465</c:v>
                </c:pt>
                <c:pt idx="12">
                  <c:v>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36-4E46-9C92-59076382B0A6}"/>
            </c:ext>
          </c:extLst>
        </c:ser>
        <c:ser>
          <c:idx val="2"/>
          <c:order val="2"/>
          <c:tx>
            <c:v>Complex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[0]!Week</c:f>
              <c:numCache>
                <c:formatCode>[$-409]d\-mmm\-yy;@</c:formatCode>
                <c:ptCount val="13"/>
                <c:pt idx="0">
                  <c:v>42896</c:v>
                </c:pt>
                <c:pt idx="1">
                  <c:v>42903</c:v>
                </c:pt>
                <c:pt idx="2">
                  <c:v>42910</c:v>
                </c:pt>
                <c:pt idx="3">
                  <c:v>42917</c:v>
                </c:pt>
                <c:pt idx="4">
                  <c:v>42924</c:v>
                </c:pt>
                <c:pt idx="5">
                  <c:v>42931</c:v>
                </c:pt>
                <c:pt idx="6">
                  <c:v>42938</c:v>
                </c:pt>
                <c:pt idx="7">
                  <c:v>42945</c:v>
                </c:pt>
                <c:pt idx="8">
                  <c:v>42952</c:v>
                </c:pt>
                <c:pt idx="9">
                  <c:v>42959</c:v>
                </c:pt>
                <c:pt idx="10">
                  <c:v>42966</c:v>
                </c:pt>
                <c:pt idx="11">
                  <c:v>42973</c:v>
                </c:pt>
                <c:pt idx="12">
                  <c:v>42980</c:v>
                </c:pt>
              </c:numCache>
            </c:numRef>
          </c:cat>
          <c:val>
            <c:numRef>
              <c:f>[0]!WeekCom</c:f>
              <c:numCache>
                <c:formatCode>General</c:formatCode>
                <c:ptCount val="13"/>
                <c:pt idx="0">
                  <c:v>173</c:v>
                </c:pt>
                <c:pt idx="1">
                  <c:v>312</c:v>
                </c:pt>
                <c:pt idx="2">
                  <c:v>173</c:v>
                </c:pt>
                <c:pt idx="3">
                  <c:v>312</c:v>
                </c:pt>
                <c:pt idx="4">
                  <c:v>173</c:v>
                </c:pt>
                <c:pt idx="5">
                  <c:v>312</c:v>
                </c:pt>
                <c:pt idx="6">
                  <c:v>173</c:v>
                </c:pt>
                <c:pt idx="7">
                  <c:v>312</c:v>
                </c:pt>
                <c:pt idx="8">
                  <c:v>173</c:v>
                </c:pt>
                <c:pt idx="9">
                  <c:v>312</c:v>
                </c:pt>
                <c:pt idx="10">
                  <c:v>173</c:v>
                </c:pt>
                <c:pt idx="11">
                  <c:v>312</c:v>
                </c:pt>
                <c:pt idx="12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36-4E46-9C92-59076382B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203488"/>
        <c:axId val="255202240"/>
      </c:lineChart>
      <c:dateAx>
        <c:axId val="255203488"/>
        <c:scaling>
          <c:orientation val="minMax"/>
        </c:scaling>
        <c:delete val="0"/>
        <c:axPos val="b"/>
        <c:numFmt formatCode="[$-409]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202240"/>
        <c:crosses val="autoZero"/>
        <c:auto val="1"/>
        <c:lblOffset val="100"/>
        <c:baseTimeUnit val="days"/>
      </c:dateAx>
      <c:valAx>
        <c:axId val="2552022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20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DCR's Processed by</a:t>
            </a:r>
            <a:r>
              <a:rPr lang="en-US" baseline="0"/>
              <a:t> Status: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847357755494243E-2"/>
          <c:y val="0.14631163708086786"/>
          <c:w val="0.91625995468515153"/>
          <c:h val="0.62854680147230113"/>
        </c:manualLayout>
      </c:layout>
      <c:barChart>
        <c:barDir val="col"/>
        <c:grouping val="clustered"/>
        <c:varyColors val="0"/>
        <c:ser>
          <c:idx val="0"/>
          <c:order val="0"/>
          <c:tx>
            <c:v>Complete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[0]!Month</c:f>
              <c:strCache>
                <c:ptCount val="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</c:strCache>
            </c:strRef>
          </c:cat>
          <c:val>
            <c:numRef>
              <c:f>[0]!MonthC</c:f>
              <c:numCache>
                <c:formatCode>General</c:formatCode>
                <c:ptCount val="4"/>
                <c:pt idx="0">
                  <c:v>1563</c:v>
                </c:pt>
                <c:pt idx="1">
                  <c:v>2981</c:v>
                </c:pt>
                <c:pt idx="2">
                  <c:v>2272</c:v>
                </c:pt>
                <c:pt idx="3">
                  <c:v>2699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E8-473F-9458-FC5F98893E50}"/>
            </c:ext>
          </c:extLst>
        </c:ser>
        <c:ser>
          <c:idx val="1"/>
          <c:order val="1"/>
          <c:tx>
            <c:v>Manager Approved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[0]!Month</c:f>
              <c:strCache>
                <c:ptCount val="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</c:strCache>
            </c:strRef>
          </c:cat>
          <c:val>
            <c:numRef>
              <c:f>[0]!MonthM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E8-473F-9458-FC5F98893E50}"/>
            </c:ext>
          </c:extLst>
        </c:ser>
        <c:ser>
          <c:idx val="2"/>
          <c:order val="2"/>
          <c:tx>
            <c:v>Deferred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[0]!Month</c:f>
              <c:strCache>
                <c:ptCount val="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</c:strCache>
            </c:strRef>
          </c:cat>
          <c:val>
            <c:numRef>
              <c:f>[0]!MonthD</c:f>
              <c:numCache>
                <c:formatCode>General</c:formatCode>
                <c:ptCount val="4"/>
                <c:pt idx="0">
                  <c:v>159</c:v>
                </c:pt>
                <c:pt idx="1">
                  <c:v>333</c:v>
                </c:pt>
                <c:pt idx="2">
                  <c:v>246</c:v>
                </c:pt>
                <c:pt idx="3">
                  <c:v>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E8-473F-9458-FC5F98893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162320"/>
        <c:axId val="405163152"/>
      </c:barChart>
      <c:catAx>
        <c:axId val="40516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63152"/>
        <c:crosses val="autoZero"/>
        <c:auto val="1"/>
        <c:lblAlgn val="ctr"/>
        <c:lblOffset val="100"/>
        <c:noMultiLvlLbl val="0"/>
      </c:catAx>
      <c:valAx>
        <c:axId val="40516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6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779490170566287"/>
          <c:y val="0.88214943546257896"/>
          <c:w val="0.38145182066743361"/>
          <c:h val="6.65685132553697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DCR's Processed by Category: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Account DCR'S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[0]!Month</c:f>
              <c:strCache>
                <c:ptCount val="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</c:strCache>
            </c:strRef>
          </c:cat>
          <c:val>
            <c:numRef>
              <c:f>[0]!MonthAcc</c:f>
              <c:numCache>
                <c:formatCode>General</c:formatCode>
                <c:ptCount val="4"/>
                <c:pt idx="0">
                  <c:v>672</c:v>
                </c:pt>
                <c:pt idx="1">
                  <c:v>1292</c:v>
                </c:pt>
                <c:pt idx="2">
                  <c:v>982</c:v>
                </c:pt>
                <c:pt idx="3">
                  <c:v>1163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D0-4B5B-AC99-F9210453B7BC}"/>
            </c:ext>
          </c:extLst>
        </c:ser>
        <c:ser>
          <c:idx val="1"/>
          <c:order val="1"/>
          <c:tx>
            <c:v>Address DCR's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[0]!Month</c:f>
              <c:strCache>
                <c:ptCount val="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</c:strCache>
            </c:strRef>
          </c:cat>
          <c:val>
            <c:numRef>
              <c:f>[0]!MonthAdd</c:f>
              <c:numCache>
                <c:formatCode>General</c:formatCode>
                <c:ptCount val="4"/>
                <c:pt idx="0">
                  <c:v>967</c:v>
                </c:pt>
                <c:pt idx="1">
                  <c:v>1861</c:v>
                </c:pt>
                <c:pt idx="2">
                  <c:v>1414</c:v>
                </c:pt>
                <c:pt idx="3">
                  <c:v>1674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D0-4B5B-AC99-F9210453B7BC}"/>
            </c:ext>
          </c:extLst>
        </c:ser>
        <c:ser>
          <c:idx val="2"/>
          <c:order val="2"/>
          <c:tx>
            <c:v>DMR'S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[0]!Month</c:f>
              <c:strCache>
                <c:ptCount val="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</c:strCache>
            </c:strRef>
          </c:cat>
          <c:val>
            <c:numRef>
              <c:f>[0]!MonthDMR</c:f>
              <c:numCache>
                <c:formatCode>General</c:formatCode>
                <c:ptCount val="4"/>
                <c:pt idx="0">
                  <c:v>83</c:v>
                </c:pt>
                <c:pt idx="1">
                  <c:v>161</c:v>
                </c:pt>
                <c:pt idx="2">
                  <c:v>122</c:v>
                </c:pt>
                <c:pt idx="3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D0-4B5B-AC99-F9210453B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1895824"/>
        <c:axId val="381897488"/>
      </c:barChart>
      <c:catAx>
        <c:axId val="38189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897488"/>
        <c:crosses val="autoZero"/>
        <c:auto val="1"/>
        <c:lblAlgn val="ctr"/>
        <c:lblOffset val="100"/>
        <c:noMultiLvlLbl val="0"/>
      </c:catAx>
      <c:valAx>
        <c:axId val="38189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89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DCR's Processed by Type: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Simple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[0]!Month</c:f>
              <c:strCache>
                <c:ptCount val="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</c:strCache>
            </c:strRef>
          </c:cat>
          <c:val>
            <c:numRef>
              <c:f>[0]!MonthSim</c:f>
              <c:numCache>
                <c:formatCode>General</c:formatCode>
                <c:ptCount val="4"/>
                <c:pt idx="0">
                  <c:v>35</c:v>
                </c:pt>
                <c:pt idx="1">
                  <c:v>73</c:v>
                </c:pt>
                <c:pt idx="2">
                  <c:v>54</c:v>
                </c:pt>
                <c:pt idx="3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34-40F1-8D5F-4D0565D2B2D2}"/>
            </c:ext>
          </c:extLst>
        </c:ser>
        <c:ser>
          <c:idx val="1"/>
          <c:order val="1"/>
          <c:tx>
            <c:v>Medium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[0]!Month</c:f>
              <c:strCache>
                <c:ptCount val="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</c:strCache>
            </c:strRef>
          </c:cat>
          <c:val>
            <c:numRef>
              <c:f>[0]!MonthMed</c:f>
              <c:numCache>
                <c:formatCode>General</c:formatCode>
                <c:ptCount val="4"/>
                <c:pt idx="0">
                  <c:v>1029</c:v>
                </c:pt>
                <c:pt idx="1">
                  <c:v>1959</c:v>
                </c:pt>
                <c:pt idx="2">
                  <c:v>1494</c:v>
                </c:pt>
                <c:pt idx="3">
                  <c:v>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34-40F1-8D5F-4D0565D2B2D2}"/>
            </c:ext>
          </c:extLst>
        </c:ser>
        <c:ser>
          <c:idx val="2"/>
          <c:order val="2"/>
          <c:tx>
            <c:v>Complex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[0]!Month</c:f>
              <c:strCache>
                <c:ptCount val="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</c:strCache>
            </c:strRef>
          </c:cat>
          <c:val>
            <c:numRef>
              <c:f>[0]!MonthCom</c:f>
              <c:numCache>
                <c:formatCode>General</c:formatCode>
                <c:ptCount val="4"/>
                <c:pt idx="0">
                  <c:v>658</c:v>
                </c:pt>
                <c:pt idx="1">
                  <c:v>1282</c:v>
                </c:pt>
                <c:pt idx="2">
                  <c:v>970</c:v>
                </c:pt>
                <c:pt idx="3">
                  <c:v>1143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34-40F1-8D5F-4D0565D2B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1894160"/>
        <c:axId val="381898320"/>
      </c:barChart>
      <c:catAx>
        <c:axId val="38189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898320"/>
        <c:crosses val="autoZero"/>
        <c:auto val="1"/>
        <c:lblAlgn val="ctr"/>
        <c:lblOffset val="100"/>
        <c:noMultiLvlLbl val="0"/>
      </c:catAx>
      <c:valAx>
        <c:axId val="381898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894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ily!A1"/><Relationship Id="rId2" Type="http://schemas.openxmlformats.org/officeDocument/2006/relationships/hyperlink" Target="#Monthly_report!A1"/><Relationship Id="rId1" Type="http://schemas.openxmlformats.org/officeDocument/2006/relationships/hyperlink" Target="#Weekly_Report!A1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onthly_report!A1"/><Relationship Id="rId7" Type="http://schemas.openxmlformats.org/officeDocument/2006/relationships/chart" Target="../charts/chart3.xml"/><Relationship Id="rId2" Type="http://schemas.openxmlformats.org/officeDocument/2006/relationships/image" Target="../media/image4.png"/><Relationship Id="rId1" Type="http://schemas.openxmlformats.org/officeDocument/2006/relationships/hyperlink" Target="#Dashboard!A1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Weekly_Report!A1"/><Relationship Id="rId7" Type="http://schemas.openxmlformats.org/officeDocument/2006/relationships/chart" Target="../charts/chart6.xml"/><Relationship Id="rId2" Type="http://schemas.openxmlformats.org/officeDocument/2006/relationships/image" Target="../media/image4.png"/><Relationship Id="rId1" Type="http://schemas.openxmlformats.org/officeDocument/2006/relationships/hyperlink" Target="#Dashboard!A1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Weelky!A1"/><Relationship Id="rId2" Type="http://schemas.openxmlformats.org/officeDocument/2006/relationships/image" Target="../media/image7.png"/><Relationship Id="rId1" Type="http://schemas.openxmlformats.org/officeDocument/2006/relationships/hyperlink" Target="#Dashboard!A1"/><Relationship Id="rId4" Type="http://schemas.openxmlformats.org/officeDocument/2006/relationships/image" Target="../media/image8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aily!A1"/><Relationship Id="rId2" Type="http://schemas.openxmlformats.org/officeDocument/2006/relationships/image" Target="../media/image7.png"/><Relationship Id="rId1" Type="http://schemas.openxmlformats.org/officeDocument/2006/relationships/hyperlink" Target="#Dashboard!A1"/><Relationship Id="rId4" Type="http://schemas.openxmlformats.org/officeDocument/2006/relationships/image" Target="../media/image8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#Dashboard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314324</xdr:colOff>
      <xdr:row>6</xdr:row>
      <xdr:rowOff>104774</xdr:rowOff>
    </xdr:from>
    <xdr:to>
      <xdr:col>16</xdr:col>
      <xdr:colOff>428626</xdr:colOff>
      <xdr:row>10</xdr:row>
      <xdr:rowOff>104775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43124" y="1247774"/>
          <a:ext cx="8039102" cy="762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000" i="1"/>
        </a:p>
      </xdr:txBody>
    </xdr:sp>
    <xdr:clientData/>
  </xdr:twoCellAnchor>
  <xdr:twoCellAnchor>
    <xdr:from>
      <xdr:col>12</xdr:col>
      <xdr:colOff>342900</xdr:colOff>
      <xdr:row>12</xdr:row>
      <xdr:rowOff>95250</xdr:rowOff>
    </xdr:from>
    <xdr:to>
      <xdr:col>15</xdr:col>
      <xdr:colOff>295275</xdr:colOff>
      <xdr:row>14</xdr:row>
      <xdr:rowOff>28575</xdr:rowOff>
    </xdr:to>
    <xdr:sp macro="" textlink="">
      <xdr:nvSpPr>
        <xdr:cNvPr id="6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658100" y="2381250"/>
          <a:ext cx="1781175" cy="314325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WEEKLY</a:t>
          </a:r>
          <a:r>
            <a:rPr lang="en-US" sz="1600" baseline="0"/>
            <a:t> REPORT</a:t>
          </a:r>
          <a:endParaRPr lang="en-US" sz="1600"/>
        </a:p>
      </xdr:txBody>
    </xdr:sp>
    <xdr:clientData/>
  </xdr:twoCellAnchor>
  <xdr:twoCellAnchor>
    <xdr:from>
      <xdr:col>12</xdr:col>
      <xdr:colOff>352425</xdr:colOff>
      <xdr:row>14</xdr:row>
      <xdr:rowOff>133350</xdr:rowOff>
    </xdr:from>
    <xdr:to>
      <xdr:col>15</xdr:col>
      <xdr:colOff>304800</xdr:colOff>
      <xdr:row>16</xdr:row>
      <xdr:rowOff>66676</xdr:rowOff>
    </xdr:to>
    <xdr:sp macro="" textlink="">
      <xdr:nvSpPr>
        <xdr:cNvPr id="10" name="Rounded Rectangl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667625" y="2800350"/>
          <a:ext cx="1781175" cy="3143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MONTHLY REPORT</a:t>
          </a:r>
        </a:p>
      </xdr:txBody>
    </xdr:sp>
    <xdr:clientData/>
  </xdr:twoCellAnchor>
  <xdr:twoCellAnchor>
    <xdr:from>
      <xdr:col>12</xdr:col>
      <xdr:colOff>352425</xdr:colOff>
      <xdr:row>18</xdr:row>
      <xdr:rowOff>85725</xdr:rowOff>
    </xdr:from>
    <xdr:to>
      <xdr:col>15</xdr:col>
      <xdr:colOff>304800</xdr:colOff>
      <xdr:row>20</xdr:row>
      <xdr:rowOff>1</xdr:rowOff>
    </xdr:to>
    <xdr:sp macro="" textlink="">
      <xdr:nvSpPr>
        <xdr:cNvPr id="11" name="Rounded Rectangl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667625" y="3514725"/>
          <a:ext cx="1781175" cy="295276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DAILY VIEW</a:t>
          </a:r>
        </a:p>
      </xdr:txBody>
    </xdr:sp>
    <xdr:clientData/>
  </xdr:twoCellAnchor>
  <xdr:twoCellAnchor>
    <xdr:from>
      <xdr:col>5</xdr:col>
      <xdr:colOff>333374</xdr:colOff>
      <xdr:row>1</xdr:row>
      <xdr:rowOff>19050</xdr:rowOff>
    </xdr:from>
    <xdr:to>
      <xdr:col>14</xdr:col>
      <xdr:colOff>400049</xdr:colOff>
      <xdr:row>4</xdr:row>
      <xdr:rowOff>81395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381374" y="209550"/>
          <a:ext cx="5553075" cy="633845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/>
            <a:t>MY DATA STEWARDSHIP DASHBOARD</a:t>
          </a:r>
        </a:p>
      </xdr:txBody>
    </xdr:sp>
    <xdr:clientData/>
  </xdr:twoCellAnchor>
  <xdr:twoCellAnchor>
    <xdr:from>
      <xdr:col>3</xdr:col>
      <xdr:colOff>333374</xdr:colOff>
      <xdr:row>5</xdr:row>
      <xdr:rowOff>28575</xdr:rowOff>
    </xdr:from>
    <xdr:to>
      <xdr:col>16</xdr:col>
      <xdr:colOff>409575</xdr:colOff>
      <xdr:row>5</xdr:row>
      <xdr:rowOff>123825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162174" y="981075"/>
          <a:ext cx="8001001" cy="952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333374</xdr:colOff>
      <xdr:row>5</xdr:row>
      <xdr:rowOff>123825</xdr:rowOff>
    </xdr:from>
    <xdr:to>
      <xdr:col>16</xdr:col>
      <xdr:colOff>409575</xdr:colOff>
      <xdr:row>6</xdr:row>
      <xdr:rowOff>47625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162174" y="1076325"/>
          <a:ext cx="8001001" cy="11430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323850</xdr:colOff>
      <xdr:row>21</xdr:row>
      <xdr:rowOff>9525</xdr:rowOff>
    </xdr:from>
    <xdr:to>
      <xdr:col>16</xdr:col>
      <xdr:colOff>552450</xdr:colOff>
      <xdr:row>21</xdr:row>
      <xdr:rowOff>114300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152650" y="4010025"/>
          <a:ext cx="8153400" cy="104775"/>
        </a:xfrm>
        <a:prstGeom prst="rect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47626</xdr:colOff>
      <xdr:row>11</xdr:row>
      <xdr:rowOff>47625</xdr:rowOff>
    </xdr:from>
    <xdr:to>
      <xdr:col>11</xdr:col>
      <xdr:colOff>333376</xdr:colOff>
      <xdr:row>20</xdr:row>
      <xdr:rowOff>28574</xdr:rowOff>
    </xdr:to>
    <xdr:pic>
      <xdr:nvPicPr>
        <xdr:cNvPr id="17" name="Picture 16" descr="Image result for graph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6026" y="2143125"/>
          <a:ext cx="4552950" cy="16954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18</xdr:col>
      <xdr:colOff>419100</xdr:colOff>
      <xdr:row>11</xdr:row>
      <xdr:rowOff>28575</xdr:rowOff>
    </xdr:from>
    <xdr:ext cx="184731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1391900" y="2124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419100</xdr:colOff>
      <xdr:row>6</xdr:row>
      <xdr:rowOff>114300</xdr:rowOff>
    </xdr:from>
    <xdr:ext cx="7858125" cy="781051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2247900" y="1257300"/>
          <a:ext cx="7858125" cy="7810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About Data Stewardship Project: XYZ Specialty partnered with Company to perform prescriber validation for CNS team, Team 1, Institutional/Ultiva Team.  </a:t>
          </a:r>
          <a:endParaRPr lang="en-US">
            <a:effectLst/>
          </a:endParaRPr>
        </a:p>
        <a:p>
          <a:pPr algn="ctr"/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Operations Dashboard: The purpose of this dashboard is to track progress and do trend analysis of the Data Change requests processed as a part of prescriber validation activity. </a:t>
          </a:r>
          <a:endParaRPr lang="en-US">
            <a:effectLst/>
          </a:endParaRPr>
        </a:p>
        <a:p>
          <a:endParaRPr lang="en-US" sz="1100"/>
        </a:p>
      </xdr:txBody>
    </xdr:sp>
    <xdr:clientData/>
  </xdr:oneCellAnchor>
  <xdr:twoCellAnchor editAs="oneCell">
    <xdr:from>
      <xdr:col>2</xdr:col>
      <xdr:colOff>533400</xdr:colOff>
      <xdr:row>1</xdr:row>
      <xdr:rowOff>6350</xdr:rowOff>
    </xdr:from>
    <xdr:to>
      <xdr:col>5</xdr:col>
      <xdr:colOff>292100</xdr:colOff>
      <xdr:row>4</xdr:row>
      <xdr:rowOff>88900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6100" y="190500"/>
          <a:ext cx="1682750" cy="635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552452</xdr:colOff>
      <xdr:row>0</xdr:row>
      <xdr:rowOff>152402</xdr:rowOff>
    </xdr:from>
    <xdr:to>
      <xdr:col>3</xdr:col>
      <xdr:colOff>123826</xdr:colOff>
      <xdr:row>3</xdr:row>
      <xdr:rowOff>15067</xdr:rowOff>
    </xdr:to>
    <xdr:pic>
      <xdr:nvPicPr>
        <xdr:cNvPr id="4" name="Picture 3" descr="Image result for 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2" y="152402"/>
          <a:ext cx="790574" cy="44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400050</xdr:colOff>
      <xdr:row>0</xdr:row>
      <xdr:rowOff>171451</xdr:rowOff>
    </xdr:from>
    <xdr:to>
      <xdr:col>19</xdr:col>
      <xdr:colOff>257175</xdr:colOff>
      <xdr:row>3</xdr:row>
      <xdr:rowOff>598</xdr:rowOff>
    </xdr:to>
    <xdr:pic>
      <xdr:nvPicPr>
        <xdr:cNvPr id="8" name="Picture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72850" y="171451"/>
          <a:ext cx="466725" cy="410172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12</xdr:row>
      <xdr:rowOff>9524</xdr:rowOff>
    </xdr:from>
    <xdr:to>
      <xdr:col>16</xdr:col>
      <xdr:colOff>1</xdr:colOff>
      <xdr:row>29</xdr:row>
      <xdr:rowOff>190499</xdr:rowOff>
    </xdr:to>
    <xdr:graphicFrame macro="[0]!Chart11_Click">
      <xdr:nvGraphicFramePr>
        <xdr:cNvPr id="12" name="DCR_Status" hidden="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171450</xdr:rowOff>
        </xdr:from>
        <xdr:to>
          <xdr:col>8</xdr:col>
          <xdr:colOff>704850</xdr:colOff>
          <xdr:row>7</xdr:row>
          <xdr:rowOff>31750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603249</xdr:colOff>
      <xdr:row>12</xdr:row>
      <xdr:rowOff>14816</xdr:rowOff>
    </xdr:from>
    <xdr:to>
      <xdr:col>16</xdr:col>
      <xdr:colOff>0</xdr:colOff>
      <xdr:row>29</xdr:row>
      <xdr:rowOff>179917</xdr:rowOff>
    </xdr:to>
    <xdr:graphicFrame macro="">
      <xdr:nvGraphicFramePr>
        <xdr:cNvPr id="2" name="DCR_Category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603250</xdr:colOff>
      <xdr:row>12</xdr:row>
      <xdr:rowOff>14816</xdr:rowOff>
    </xdr:from>
    <xdr:to>
      <xdr:col>16</xdr:col>
      <xdr:colOff>0</xdr:colOff>
      <xdr:row>30</xdr:row>
      <xdr:rowOff>0</xdr:rowOff>
    </xdr:to>
    <xdr:graphicFrame macro="">
      <xdr:nvGraphicFramePr>
        <xdr:cNvPr id="3" name="DCR_Type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552450</xdr:colOff>
      <xdr:row>0</xdr:row>
      <xdr:rowOff>152400</xdr:rowOff>
    </xdr:from>
    <xdr:to>
      <xdr:col>3</xdr:col>
      <xdr:colOff>123824</xdr:colOff>
      <xdr:row>3</xdr:row>
      <xdr:rowOff>15065</xdr:rowOff>
    </xdr:to>
    <xdr:pic>
      <xdr:nvPicPr>
        <xdr:cNvPr id="3" name="Picture 2" descr="Image result for 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152400"/>
          <a:ext cx="790574" cy="44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390523</xdr:colOff>
      <xdr:row>0</xdr:row>
      <xdr:rowOff>190499</xdr:rowOff>
    </xdr:from>
    <xdr:to>
      <xdr:col>19</xdr:col>
      <xdr:colOff>247648</xdr:colOff>
      <xdr:row>3</xdr:row>
      <xdr:rowOff>19646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10800000">
          <a:off x="11363323" y="190499"/>
          <a:ext cx="466725" cy="410172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12</xdr:row>
      <xdr:rowOff>0</xdr:rowOff>
    </xdr:from>
    <xdr:to>
      <xdr:col>15</xdr:col>
      <xdr:colOff>600075</xdr:colOff>
      <xdr:row>28</xdr:row>
      <xdr:rowOff>171450</xdr:rowOff>
    </xdr:to>
    <xdr:graphicFrame macro="">
      <xdr:nvGraphicFramePr>
        <xdr:cNvPr id="6" name="DCR_Status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565150</xdr:colOff>
          <xdr:row>5</xdr:row>
          <xdr:rowOff>171450</xdr:rowOff>
        </xdr:from>
        <xdr:to>
          <xdr:col>8</xdr:col>
          <xdr:colOff>679450</xdr:colOff>
          <xdr:row>7</xdr:row>
          <xdr:rowOff>31750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613832</xdr:colOff>
      <xdr:row>12</xdr:row>
      <xdr:rowOff>4232</xdr:rowOff>
    </xdr:from>
    <xdr:to>
      <xdr:col>15</xdr:col>
      <xdr:colOff>603250</xdr:colOff>
      <xdr:row>28</xdr:row>
      <xdr:rowOff>169334</xdr:rowOff>
    </xdr:to>
    <xdr:graphicFrame macro="">
      <xdr:nvGraphicFramePr>
        <xdr:cNvPr id="2" name="DCR_Category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12</xdr:row>
      <xdr:rowOff>4232</xdr:rowOff>
    </xdr:from>
    <xdr:to>
      <xdr:col>15</xdr:col>
      <xdr:colOff>592667</xdr:colOff>
      <xdr:row>28</xdr:row>
      <xdr:rowOff>169333</xdr:rowOff>
    </xdr:to>
    <xdr:graphicFrame macro="">
      <xdr:nvGraphicFramePr>
        <xdr:cNvPr id="5" name="DCR_Type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152400</xdr:rowOff>
    </xdr:from>
    <xdr:to>
      <xdr:col>1</xdr:col>
      <xdr:colOff>390524</xdr:colOff>
      <xdr:row>3</xdr:row>
      <xdr:rowOff>15065</xdr:rowOff>
    </xdr:to>
    <xdr:pic>
      <xdr:nvPicPr>
        <xdr:cNvPr id="2" name="Picture 1" descr="Image result for 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52400"/>
          <a:ext cx="790574" cy="44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304800</xdr:colOff>
      <xdr:row>1</xdr:row>
      <xdr:rowOff>57150</xdr:rowOff>
    </xdr:from>
    <xdr:to>
      <xdr:col>17</xdr:col>
      <xdr:colOff>291465</xdr:colOff>
      <xdr:row>3</xdr:row>
      <xdr:rowOff>48578</xdr:rowOff>
    </xdr:to>
    <xdr:pic>
      <xdr:nvPicPr>
        <xdr:cNvPr id="8" name="Picture 7" descr="Image result for next ico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247650"/>
          <a:ext cx="596265" cy="3819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152400</xdr:rowOff>
    </xdr:from>
    <xdr:to>
      <xdr:col>1</xdr:col>
      <xdr:colOff>390524</xdr:colOff>
      <xdr:row>3</xdr:row>
      <xdr:rowOff>15065</xdr:rowOff>
    </xdr:to>
    <xdr:pic>
      <xdr:nvPicPr>
        <xdr:cNvPr id="2" name="Picture 1" descr="Image result for 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52400"/>
          <a:ext cx="790574" cy="44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314326</xdr:colOff>
      <xdr:row>1</xdr:row>
      <xdr:rowOff>57150</xdr:rowOff>
    </xdr:from>
    <xdr:to>
      <xdr:col>18</xdr:col>
      <xdr:colOff>300991</xdr:colOff>
      <xdr:row>3</xdr:row>
      <xdr:rowOff>48578</xdr:rowOff>
    </xdr:to>
    <xdr:pic>
      <xdr:nvPicPr>
        <xdr:cNvPr id="3" name="Picture 2" descr="Image result for next ico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58451" y="247650"/>
          <a:ext cx="596265" cy="3819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171450</xdr:rowOff>
    </xdr:from>
    <xdr:to>
      <xdr:col>1</xdr:col>
      <xdr:colOff>390178</xdr:colOff>
      <xdr:row>3</xdr:row>
      <xdr:rowOff>28575</xdr:rowOff>
    </xdr:to>
    <xdr:pic>
      <xdr:nvPicPr>
        <xdr:cNvPr id="2" name="Picture 1" descr="Image result for 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71450"/>
          <a:ext cx="780703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5:P22"/>
  <sheetViews>
    <sheetView tabSelected="1" workbookViewId="0">
      <selection activeCell="L27" sqref="L27"/>
    </sheetView>
  </sheetViews>
  <sheetFormatPr defaultColWidth="9.1796875" defaultRowHeight="14.5" x14ac:dyDescent="0.35"/>
  <cols>
    <col min="1" max="16384" width="9.1796875" style="1"/>
  </cols>
  <sheetData>
    <row r="5" spans="4:16" x14ac:dyDescent="0.35">
      <c r="F5" s="63"/>
      <c r="G5" s="63"/>
      <c r="H5" s="63"/>
      <c r="I5" s="63"/>
      <c r="J5" s="63"/>
      <c r="K5" s="63"/>
      <c r="L5" s="63"/>
      <c r="M5" s="63"/>
    </row>
    <row r="6" spans="4:16" x14ac:dyDescent="0.35">
      <c r="F6" s="63"/>
      <c r="G6" s="63"/>
      <c r="H6" s="63"/>
      <c r="I6" s="63"/>
      <c r="J6" s="63"/>
      <c r="K6" s="63"/>
      <c r="L6" s="63"/>
      <c r="M6" s="63"/>
    </row>
    <row r="7" spans="4:16" x14ac:dyDescent="0.35">
      <c r="F7" s="63"/>
      <c r="G7" s="63"/>
      <c r="H7" s="63"/>
      <c r="I7" s="63"/>
      <c r="J7" s="63"/>
      <c r="K7" s="63"/>
      <c r="L7" s="63"/>
      <c r="M7" s="63"/>
    </row>
    <row r="9" spans="4:16" x14ac:dyDescent="0.35"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</row>
    <row r="10" spans="4:16" x14ac:dyDescent="0.35"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</row>
    <row r="12" spans="4:16" x14ac:dyDescent="0.35">
      <c r="D12" s="2"/>
      <c r="E12" s="2"/>
      <c r="F12" s="2"/>
      <c r="G12" s="2"/>
      <c r="H12" s="2"/>
      <c r="I12" s="2"/>
      <c r="J12" s="2"/>
      <c r="K12" s="2"/>
      <c r="L12" s="2"/>
      <c r="M12" s="62" t="s">
        <v>0</v>
      </c>
      <c r="N12" s="62"/>
      <c r="O12" s="62"/>
      <c r="P12" s="62"/>
    </row>
    <row r="13" spans="4:16" x14ac:dyDescent="0.35">
      <c r="D13" s="2"/>
      <c r="E13" s="2"/>
      <c r="F13" s="2"/>
      <c r="G13" s="2"/>
      <c r="H13" s="2"/>
      <c r="I13" s="2"/>
      <c r="J13" s="2"/>
      <c r="K13" s="2"/>
      <c r="L13" s="2"/>
    </row>
    <row r="14" spans="4:16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4:16" x14ac:dyDescent="0.35">
      <c r="D15" s="2"/>
      <c r="E15" s="2"/>
      <c r="F15" s="2"/>
      <c r="G15" s="2"/>
      <c r="H15" s="2"/>
      <c r="I15" s="2"/>
      <c r="J15" s="2"/>
      <c r="K15" s="2"/>
    </row>
    <row r="18" spans="7:16" x14ac:dyDescent="0.35">
      <c r="M18" s="62" t="s">
        <v>1</v>
      </c>
      <c r="N18" s="62"/>
      <c r="O18" s="62"/>
      <c r="P18" s="62"/>
    </row>
    <row r="22" spans="7:16" x14ac:dyDescent="0.35">
      <c r="G22"/>
    </row>
  </sheetData>
  <mergeCells count="5">
    <mergeCell ref="M18:P18"/>
    <mergeCell ref="F5:M7"/>
    <mergeCell ref="D9:O9"/>
    <mergeCell ref="D10:O10"/>
    <mergeCell ref="M12:P1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32"/>
  <sheetViews>
    <sheetView zoomScale="90" zoomScaleNormal="90" workbookViewId="0"/>
  </sheetViews>
  <sheetFormatPr defaultColWidth="9.1796875" defaultRowHeight="14.5" x14ac:dyDescent="0.35"/>
  <cols>
    <col min="1" max="6" width="9.1796875" style="55"/>
    <col min="7" max="7" width="2.81640625" style="55" customWidth="1"/>
    <col min="8" max="8" width="9.1796875" style="55"/>
    <col min="9" max="9" width="12.54296875" style="55" customWidth="1"/>
    <col min="10" max="25" width="9.1796875" style="55"/>
    <col min="26" max="26" width="27.453125" style="55" customWidth="1"/>
    <col min="27" max="16384" width="9.1796875" style="55"/>
  </cols>
  <sheetData>
    <row r="1" spans="1:26" ht="15" thickTop="1" x14ac:dyDescent="0.35">
      <c r="A1" s="54"/>
      <c r="B1" s="42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4"/>
    </row>
    <row r="2" spans="1:26" ht="15" customHeight="1" x14ac:dyDescent="0.35">
      <c r="A2" s="54"/>
      <c r="B2" s="45"/>
      <c r="C2" s="46"/>
      <c r="D2" s="65" t="s">
        <v>2</v>
      </c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47"/>
      <c r="X2" s="56">
        <v>2015</v>
      </c>
      <c r="Y2" s="56" t="s">
        <v>6</v>
      </c>
      <c r="Z2" s="56" t="s">
        <v>13</v>
      </c>
    </row>
    <row r="3" spans="1:26" ht="15" customHeight="1" x14ac:dyDescent="0.35">
      <c r="A3" s="54"/>
      <c r="B3" s="45"/>
      <c r="C3" s="46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47"/>
      <c r="X3" s="56">
        <v>2016</v>
      </c>
      <c r="Y3" s="56" t="s">
        <v>7</v>
      </c>
      <c r="Z3" s="56" t="s">
        <v>14</v>
      </c>
    </row>
    <row r="4" spans="1:26" x14ac:dyDescent="0.35">
      <c r="B4" s="45"/>
      <c r="C4" s="46"/>
      <c r="D4" s="46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6"/>
      <c r="Q4" s="46"/>
      <c r="R4" s="46"/>
      <c r="S4" s="46"/>
      <c r="T4" s="47"/>
      <c r="X4" s="56">
        <v>2017</v>
      </c>
      <c r="Y4" s="56" t="s">
        <v>8</v>
      </c>
      <c r="Z4" s="56" t="s">
        <v>15</v>
      </c>
    </row>
    <row r="5" spans="1:26" x14ac:dyDescent="0.35">
      <c r="B5" s="45"/>
      <c r="C5" s="49"/>
      <c r="D5" s="66" t="s">
        <v>3</v>
      </c>
      <c r="E5" s="66"/>
      <c r="F5" s="59">
        <v>2017</v>
      </c>
      <c r="G5" s="50"/>
      <c r="H5" s="50"/>
      <c r="I5" s="49"/>
      <c r="J5" s="49" t="s">
        <v>17</v>
      </c>
      <c r="K5" s="49"/>
      <c r="L5" s="49"/>
      <c r="M5" s="49"/>
      <c r="N5" s="49"/>
      <c r="O5" s="49"/>
      <c r="P5" s="49"/>
      <c r="Q5" s="49"/>
      <c r="R5" s="49"/>
      <c r="S5" s="49"/>
      <c r="T5" s="47"/>
      <c r="X5" s="56"/>
      <c r="Y5" s="56" t="s">
        <v>9</v>
      </c>
      <c r="Z5" s="56"/>
    </row>
    <row r="6" spans="1:26" x14ac:dyDescent="0.35">
      <c r="B6" s="45"/>
      <c r="C6" s="49"/>
      <c r="D6" s="66" t="s">
        <v>4</v>
      </c>
      <c r="E6" s="66"/>
      <c r="F6" s="50" t="s">
        <v>8</v>
      </c>
      <c r="G6" s="61" t="s">
        <v>51</v>
      </c>
      <c r="H6" s="50"/>
      <c r="I6" s="49"/>
      <c r="J6" s="49" t="s">
        <v>18</v>
      </c>
      <c r="K6" s="49"/>
      <c r="L6" s="49"/>
      <c r="M6" s="49"/>
      <c r="N6" s="49"/>
      <c r="O6" s="49"/>
      <c r="P6" s="49"/>
      <c r="Q6" s="49"/>
      <c r="R6" s="49"/>
      <c r="S6" s="49"/>
      <c r="T6" s="47"/>
      <c r="X6" s="56"/>
      <c r="Y6" s="56" t="s">
        <v>10</v>
      </c>
      <c r="Z6" s="56"/>
    </row>
    <row r="7" spans="1:26" x14ac:dyDescent="0.35">
      <c r="B7" s="45"/>
      <c r="C7" s="49"/>
      <c r="D7" s="66" t="s">
        <v>5</v>
      </c>
      <c r="E7" s="66"/>
      <c r="F7" s="68"/>
      <c r="G7" s="68"/>
      <c r="H7" s="68"/>
      <c r="I7" s="49"/>
      <c r="J7" s="49" t="s">
        <v>19</v>
      </c>
      <c r="K7" s="49"/>
      <c r="L7" s="49"/>
      <c r="M7" s="49"/>
      <c r="N7" s="49"/>
      <c r="O7" s="49"/>
      <c r="P7" s="49"/>
      <c r="Q7" s="49"/>
      <c r="R7" s="49"/>
      <c r="S7" s="49"/>
      <c r="T7" s="47"/>
      <c r="X7" s="56"/>
      <c r="Y7" s="56" t="s">
        <v>11</v>
      </c>
      <c r="Z7" s="56"/>
    </row>
    <row r="8" spans="1:26" x14ac:dyDescent="0.35">
      <c r="B8" s="45"/>
      <c r="C8" s="49"/>
      <c r="D8" s="66" t="s">
        <v>16</v>
      </c>
      <c r="E8" s="66"/>
      <c r="F8" s="50">
        <f ca="1">WEEKNUM(TODAY(),1)</f>
        <v>20</v>
      </c>
      <c r="G8" s="50"/>
      <c r="H8" s="50"/>
      <c r="I8" s="49"/>
      <c r="J8" s="49" t="s">
        <v>20</v>
      </c>
      <c r="K8" s="49"/>
      <c r="L8" s="49"/>
      <c r="M8" s="49"/>
      <c r="N8" s="49"/>
      <c r="O8" s="49"/>
      <c r="P8" s="69" t="s">
        <v>21</v>
      </c>
      <c r="Q8" s="69"/>
      <c r="R8" s="69"/>
      <c r="S8" s="40">
        <v>0</v>
      </c>
      <c r="T8" s="47"/>
      <c r="X8" s="56"/>
      <c r="Y8" s="56" t="s">
        <v>12</v>
      </c>
      <c r="Z8" s="56"/>
    </row>
    <row r="9" spans="1:26" x14ac:dyDescent="0.35">
      <c r="B9" s="45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7"/>
      <c r="X9" s="56"/>
      <c r="Z9" s="56"/>
    </row>
    <row r="10" spans="1:26" x14ac:dyDescent="0.35">
      <c r="B10" s="45"/>
      <c r="C10" s="67" t="s">
        <v>22</v>
      </c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47"/>
      <c r="X10" s="56"/>
      <c r="Z10" s="56"/>
    </row>
    <row r="11" spans="1:26" x14ac:dyDescent="0.35">
      <c r="B11" s="45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47"/>
      <c r="X11" s="56"/>
      <c r="Z11" s="56"/>
    </row>
    <row r="12" spans="1:26" x14ac:dyDescent="0.35">
      <c r="B12" s="45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7"/>
      <c r="X12" s="56"/>
      <c r="Z12" s="56"/>
    </row>
    <row r="13" spans="1:26" x14ac:dyDescent="0.35">
      <c r="B13" s="45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7"/>
      <c r="X13" s="56"/>
      <c r="Z13" s="56"/>
    </row>
    <row r="14" spans="1:26" x14ac:dyDescent="0.35">
      <c r="B14" s="45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7"/>
    </row>
    <row r="15" spans="1:26" x14ac:dyDescent="0.35">
      <c r="B15" s="45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7"/>
    </row>
    <row r="16" spans="1:26" x14ac:dyDescent="0.35">
      <c r="B16" s="45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7"/>
    </row>
    <row r="17" spans="2:20" x14ac:dyDescent="0.35">
      <c r="B17" s="45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7"/>
    </row>
    <row r="18" spans="2:20" x14ac:dyDescent="0.35">
      <c r="B18" s="45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7"/>
    </row>
    <row r="19" spans="2:20" x14ac:dyDescent="0.35">
      <c r="B19" s="45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7"/>
    </row>
    <row r="20" spans="2:20" x14ac:dyDescent="0.35">
      <c r="B20" s="45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7"/>
    </row>
    <row r="21" spans="2:20" x14ac:dyDescent="0.35">
      <c r="B21" s="45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7"/>
    </row>
    <row r="22" spans="2:20" x14ac:dyDescent="0.35">
      <c r="B22" s="45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7"/>
    </row>
    <row r="23" spans="2:20" x14ac:dyDescent="0.35">
      <c r="B23" s="45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7"/>
    </row>
    <row r="24" spans="2:20" x14ac:dyDescent="0.35">
      <c r="B24" s="45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7"/>
    </row>
    <row r="25" spans="2:20" x14ac:dyDescent="0.35">
      <c r="B25" s="45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7"/>
    </row>
    <row r="26" spans="2:20" x14ac:dyDescent="0.35">
      <c r="B26" s="45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7"/>
    </row>
    <row r="27" spans="2:20" x14ac:dyDescent="0.35">
      <c r="B27" s="45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7"/>
    </row>
    <row r="28" spans="2:20" x14ac:dyDescent="0.35">
      <c r="B28" s="45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7"/>
    </row>
    <row r="29" spans="2:20" x14ac:dyDescent="0.35">
      <c r="B29" s="45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7"/>
    </row>
    <row r="30" spans="2:20" x14ac:dyDescent="0.35">
      <c r="B30" s="45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7"/>
    </row>
    <row r="31" spans="2:20" ht="15" thickBot="1" x14ac:dyDescent="0.4"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3"/>
    </row>
    <row r="32" spans="2:20" ht="15" thickTop="1" x14ac:dyDescent="0.35"/>
  </sheetData>
  <mergeCells count="8">
    <mergeCell ref="D2:S3"/>
    <mergeCell ref="D5:E5"/>
    <mergeCell ref="D6:E6"/>
    <mergeCell ref="C10:S11"/>
    <mergeCell ref="D7:E7"/>
    <mergeCell ref="F7:H7"/>
    <mergeCell ref="D8:E8"/>
    <mergeCell ref="P8:R8"/>
  </mergeCells>
  <dataValidations count="3">
    <dataValidation sqref="D5"/>
    <dataValidation type="list" allowBlank="1" sqref="F6">
      <formula1>$Y$2:$Y$8</formula1>
    </dataValidation>
    <dataValidation allowBlank="1" showInputMessage="1" showErrorMessage="1" prompt="Select the cell to the left to activate the Drop Down menu." sqref="G6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boBox1">
          <controlPr defaultSize="0" autoLine="0" r:id="rId4">
            <anchor moveWithCells="1">
              <from>
                <xdr:col>5</xdr:col>
                <xdr:colOff>0</xdr:colOff>
                <xdr:row>5</xdr:row>
                <xdr:rowOff>171450</xdr:rowOff>
              </from>
              <to>
                <xdr:col>8</xdr:col>
                <xdr:colOff>635000</xdr:colOff>
                <xdr:row>7</xdr:row>
                <xdr:rowOff>38100</xdr:rowOff>
              </to>
            </anchor>
          </controlPr>
        </control>
      </mc:Choice>
      <mc:Fallback>
        <control shapeId="2050" r:id="rId3" name="Combo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T31"/>
  <sheetViews>
    <sheetView zoomScale="90" zoomScaleNormal="90" workbookViewId="0"/>
  </sheetViews>
  <sheetFormatPr defaultColWidth="9.1796875" defaultRowHeight="14.5" x14ac:dyDescent="0.35"/>
  <cols>
    <col min="1" max="5" width="9.1796875" style="55"/>
    <col min="6" max="6" width="9.7265625" style="55" customWidth="1"/>
    <col min="7" max="7" width="2.81640625" style="55" customWidth="1"/>
    <col min="8" max="8" width="9.1796875" style="55"/>
    <col min="9" max="9" width="12" style="55" customWidth="1"/>
    <col min="10" max="17" width="9.1796875" style="55"/>
    <col min="18" max="18" width="9.1796875" style="55" customWidth="1"/>
    <col min="19" max="16384" width="9.1796875" style="55"/>
  </cols>
  <sheetData>
    <row r="1" spans="2:20" ht="15" thickTop="1" x14ac:dyDescent="0.35">
      <c r="B1" s="42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4"/>
    </row>
    <row r="2" spans="2:20" x14ac:dyDescent="0.35">
      <c r="B2" s="45"/>
      <c r="C2" s="46"/>
      <c r="D2" s="65" t="s">
        <v>2</v>
      </c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47"/>
    </row>
    <row r="3" spans="2:20" x14ac:dyDescent="0.35">
      <c r="B3" s="45"/>
      <c r="C3" s="46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47"/>
    </row>
    <row r="4" spans="2:20" x14ac:dyDescent="0.35">
      <c r="B4" s="45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7"/>
    </row>
    <row r="5" spans="2:20" x14ac:dyDescent="0.35">
      <c r="B5" s="45"/>
      <c r="C5" s="57"/>
      <c r="D5" s="76" t="s">
        <v>3</v>
      </c>
      <c r="E5" s="76"/>
      <c r="F5" s="58">
        <v>2017</v>
      </c>
      <c r="G5" s="58"/>
      <c r="H5" s="58"/>
      <c r="I5" s="57"/>
      <c r="J5" s="57" t="s">
        <v>17</v>
      </c>
      <c r="K5" s="57"/>
      <c r="L5" s="57"/>
      <c r="M5" s="57"/>
      <c r="N5" s="57"/>
      <c r="O5" s="57"/>
      <c r="P5" s="57"/>
      <c r="Q5" s="57"/>
      <c r="R5" s="57"/>
      <c r="S5" s="57"/>
      <c r="T5" s="47"/>
    </row>
    <row r="6" spans="2:20" x14ac:dyDescent="0.35">
      <c r="B6" s="45"/>
      <c r="C6" s="57"/>
      <c r="D6" s="76" t="s">
        <v>4</v>
      </c>
      <c r="E6" s="76"/>
      <c r="F6" s="60" t="s">
        <v>9</v>
      </c>
      <c r="G6" s="61" t="s">
        <v>51</v>
      </c>
      <c r="H6" s="58"/>
      <c r="I6" s="57"/>
      <c r="J6" s="57" t="s">
        <v>19</v>
      </c>
      <c r="K6" s="57"/>
      <c r="L6" s="57"/>
      <c r="M6" s="57"/>
      <c r="N6" s="57"/>
      <c r="O6" s="57"/>
      <c r="P6" s="57"/>
      <c r="Q6" s="57"/>
      <c r="R6" s="57"/>
      <c r="S6" s="57"/>
      <c r="T6" s="47"/>
    </row>
    <row r="7" spans="2:20" x14ac:dyDescent="0.35">
      <c r="B7" s="45"/>
      <c r="C7" s="57"/>
      <c r="D7" s="76" t="s">
        <v>5</v>
      </c>
      <c r="E7" s="76"/>
      <c r="F7" s="68"/>
      <c r="G7" s="68"/>
      <c r="H7" s="68"/>
      <c r="I7" s="57"/>
      <c r="J7" s="57" t="s">
        <v>20</v>
      </c>
      <c r="K7" s="57"/>
      <c r="L7" s="57"/>
      <c r="M7" s="57"/>
      <c r="N7" s="57"/>
      <c r="O7" s="57"/>
      <c r="P7" s="57"/>
      <c r="Q7" s="57"/>
      <c r="R7" s="57"/>
      <c r="S7" s="57"/>
      <c r="T7" s="47"/>
    </row>
    <row r="8" spans="2:20" x14ac:dyDescent="0.35">
      <c r="B8" s="45"/>
      <c r="C8" s="57"/>
      <c r="D8" s="76" t="s">
        <v>42</v>
      </c>
      <c r="E8" s="76"/>
      <c r="F8" s="58">
        <f ca="1">MONTH(TODAY())</f>
        <v>5</v>
      </c>
      <c r="G8" s="58"/>
      <c r="H8" s="58"/>
      <c r="I8" s="57"/>
      <c r="J8" s="57"/>
      <c r="K8" s="57"/>
      <c r="L8" s="57"/>
      <c r="M8" s="57"/>
      <c r="N8" s="57"/>
      <c r="O8" s="57"/>
      <c r="P8" s="72" t="s">
        <v>21</v>
      </c>
      <c r="Q8" s="73"/>
      <c r="R8" s="74"/>
      <c r="S8" s="41">
        <v>0</v>
      </c>
      <c r="T8" s="47"/>
    </row>
    <row r="9" spans="2:20" x14ac:dyDescent="0.35">
      <c r="B9" s="45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7"/>
    </row>
    <row r="10" spans="2:20" x14ac:dyDescent="0.35">
      <c r="B10" s="45"/>
      <c r="C10" s="70" t="s">
        <v>43</v>
      </c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47"/>
    </row>
    <row r="11" spans="2:20" x14ac:dyDescent="0.35">
      <c r="B11" s="45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47"/>
    </row>
    <row r="12" spans="2:20" x14ac:dyDescent="0.35">
      <c r="B12" s="45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7"/>
    </row>
    <row r="13" spans="2:20" x14ac:dyDescent="0.35">
      <c r="B13" s="45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7"/>
    </row>
    <row r="14" spans="2:20" x14ac:dyDescent="0.35">
      <c r="B14" s="45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7"/>
    </row>
    <row r="15" spans="2:20" x14ac:dyDescent="0.35">
      <c r="B15" s="45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7"/>
    </row>
    <row r="16" spans="2:20" x14ac:dyDescent="0.35">
      <c r="B16" s="45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7"/>
    </row>
    <row r="17" spans="2:20" x14ac:dyDescent="0.35">
      <c r="B17" s="45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7"/>
    </row>
    <row r="18" spans="2:20" x14ac:dyDescent="0.35">
      <c r="B18" s="45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7"/>
    </row>
    <row r="19" spans="2:20" x14ac:dyDescent="0.35">
      <c r="B19" s="45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7"/>
    </row>
    <row r="20" spans="2:20" x14ac:dyDescent="0.35">
      <c r="B20" s="45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7"/>
    </row>
    <row r="21" spans="2:20" x14ac:dyDescent="0.35">
      <c r="B21" s="45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7"/>
    </row>
    <row r="22" spans="2:20" x14ac:dyDescent="0.35">
      <c r="B22" s="45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7"/>
    </row>
    <row r="23" spans="2:20" x14ac:dyDescent="0.35">
      <c r="B23" s="45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7"/>
    </row>
    <row r="24" spans="2:20" x14ac:dyDescent="0.35">
      <c r="B24" s="45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7"/>
    </row>
    <row r="25" spans="2:20" x14ac:dyDescent="0.35">
      <c r="B25" s="45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7"/>
    </row>
    <row r="26" spans="2:20" x14ac:dyDescent="0.35">
      <c r="B26" s="45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7"/>
    </row>
    <row r="27" spans="2:20" x14ac:dyDescent="0.35">
      <c r="B27" s="45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7"/>
    </row>
    <row r="28" spans="2:20" x14ac:dyDescent="0.35">
      <c r="B28" s="45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7"/>
    </row>
    <row r="29" spans="2:20" x14ac:dyDescent="0.35">
      <c r="B29" s="45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7"/>
    </row>
    <row r="30" spans="2:20" ht="15" thickBot="1" x14ac:dyDescent="0.4">
      <c r="B30" s="51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3"/>
    </row>
    <row r="31" spans="2:20" ht="15" thickTop="1" x14ac:dyDescent="0.35"/>
  </sheetData>
  <mergeCells count="8">
    <mergeCell ref="C10:S11"/>
    <mergeCell ref="P8:R8"/>
    <mergeCell ref="D2:S3"/>
    <mergeCell ref="D5:E5"/>
    <mergeCell ref="D6:E6"/>
    <mergeCell ref="D7:E7"/>
    <mergeCell ref="D8:E8"/>
    <mergeCell ref="F7:H7"/>
  </mergeCells>
  <dataValidations count="1">
    <dataValidation allowBlank="1" showInputMessage="1" showErrorMessage="1" prompt="Select the cell to the left to activate the Drop Down menu." sqref="G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autoLine="0" r:id="rId5">
            <anchor moveWithCells="1">
              <from>
                <xdr:col>4</xdr:col>
                <xdr:colOff>565150</xdr:colOff>
                <xdr:row>5</xdr:row>
                <xdr:rowOff>171450</xdr:rowOff>
              </from>
              <to>
                <xdr:col>8</xdr:col>
                <xdr:colOff>577850</xdr:colOff>
                <xdr:row>7</xdr:row>
                <xdr:rowOff>38100</xdr:rowOff>
              </to>
            </anchor>
          </controlPr>
        </control>
      </mc:Choice>
      <mc:Fallback>
        <control shapeId="3074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>
          <x14:formula1>
            <xm:f>Weekly_Report!$X$2:$X$4</xm:f>
          </x14:formula1>
          <xm:sqref>F5</xm:sqref>
        </x14:dataValidation>
        <x14:dataValidation type="list" allowBlank="1">
          <x14:formula1>
            <xm:f>Weekly_Report!$Y$2:$Y$8</xm:f>
          </x14:formula1>
          <xm:sqref>F6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R20"/>
  <sheetViews>
    <sheetView workbookViewId="0">
      <selection activeCell="E17" sqref="E17:F17"/>
    </sheetView>
  </sheetViews>
  <sheetFormatPr defaultColWidth="9.1796875" defaultRowHeight="14.5" x14ac:dyDescent="0.35"/>
  <cols>
    <col min="1" max="2" width="9.1796875" style="1"/>
    <col min="3" max="3" width="10.1796875" style="1" bestFit="1" customWidth="1"/>
    <col min="4" max="4" width="11.453125" style="1" bestFit="1" customWidth="1"/>
    <col min="5" max="7" width="9.1796875" style="1"/>
    <col min="8" max="8" width="18.1796875" style="1" bestFit="1" customWidth="1"/>
    <col min="9" max="15" width="9.1796875" style="1"/>
    <col min="16" max="16" width="15" style="1" bestFit="1" customWidth="1"/>
    <col min="17" max="16384" width="9.1796875" style="1"/>
  </cols>
  <sheetData>
    <row r="2" spans="1:18" ht="15" thickBot="1" x14ac:dyDescent="0.4">
      <c r="R2"/>
    </row>
    <row r="3" spans="1:18" x14ac:dyDescent="0.35">
      <c r="C3" s="79" t="s">
        <v>23</v>
      </c>
      <c r="D3" s="82" t="s">
        <v>24</v>
      </c>
      <c r="E3" s="85" t="s">
        <v>41</v>
      </c>
      <c r="F3" s="86"/>
      <c r="G3" s="93" t="s">
        <v>28</v>
      </c>
      <c r="H3" s="94"/>
      <c r="I3" s="95"/>
      <c r="J3" s="122" t="s">
        <v>14</v>
      </c>
      <c r="K3" s="123"/>
      <c r="L3" s="124"/>
      <c r="M3" s="128" t="s">
        <v>15</v>
      </c>
      <c r="N3" s="129"/>
      <c r="O3" s="130"/>
      <c r="P3" s="107" t="s">
        <v>38</v>
      </c>
    </row>
    <row r="4" spans="1:18" x14ac:dyDescent="0.35">
      <c r="C4" s="80"/>
      <c r="D4" s="83"/>
      <c r="E4" s="87"/>
      <c r="F4" s="88"/>
      <c r="G4" s="96"/>
      <c r="H4" s="97"/>
      <c r="I4" s="98"/>
      <c r="J4" s="125"/>
      <c r="K4" s="126"/>
      <c r="L4" s="127"/>
      <c r="M4" s="131"/>
      <c r="N4" s="76"/>
      <c r="O4" s="132"/>
      <c r="P4" s="108"/>
    </row>
    <row r="5" spans="1:18" x14ac:dyDescent="0.35">
      <c r="C5" s="80"/>
      <c r="D5" s="83"/>
      <c r="E5" s="87"/>
      <c r="F5" s="88"/>
      <c r="G5" s="99" t="s">
        <v>29</v>
      </c>
      <c r="H5" s="101" t="s">
        <v>30</v>
      </c>
      <c r="I5" s="103" t="s">
        <v>31</v>
      </c>
      <c r="J5" s="114" t="s">
        <v>32</v>
      </c>
      <c r="K5" s="116" t="s">
        <v>33</v>
      </c>
      <c r="L5" s="110" t="s">
        <v>34</v>
      </c>
      <c r="M5" s="112" t="s">
        <v>35</v>
      </c>
      <c r="N5" s="118" t="s">
        <v>36</v>
      </c>
      <c r="O5" s="120" t="s">
        <v>37</v>
      </c>
      <c r="P5" s="108"/>
      <c r="R5"/>
    </row>
    <row r="6" spans="1:18" ht="15" thickBot="1" x14ac:dyDescent="0.4">
      <c r="C6" s="81"/>
      <c r="D6" s="84"/>
      <c r="E6" s="89"/>
      <c r="F6" s="90"/>
      <c r="G6" s="100"/>
      <c r="H6" s="102"/>
      <c r="I6" s="104"/>
      <c r="J6" s="115"/>
      <c r="K6" s="117"/>
      <c r="L6" s="111"/>
      <c r="M6" s="113"/>
      <c r="N6" s="119"/>
      <c r="O6" s="121"/>
      <c r="P6" s="109"/>
    </row>
    <row r="7" spans="1:18" x14ac:dyDescent="0.35">
      <c r="A7" s="37" t="str">
        <f>MONTH(C7)&amp;";"&amp;YEAR(C7)</f>
        <v>6;2017</v>
      </c>
      <c r="B7" s="37" t="str">
        <f>TEXT(C7,"mmm")</f>
        <v>Jun</v>
      </c>
      <c r="C7" s="38">
        <v>42916</v>
      </c>
      <c r="D7" s="13" t="str">
        <f>TEXT(C7,"dddd")</f>
        <v>Friday</v>
      </c>
      <c r="E7" s="91">
        <f ca="1">SUMIF(Weelky!$C$7:$C$31,Monthly!$A7,Weelky!F$7:G$31)</f>
        <v>1722</v>
      </c>
      <c r="F7" s="92"/>
      <c r="G7" s="14">
        <f>SUMIF(Weelky!$C$7:$C$31,Monthly!$A7,Weelky!H$7:H$31)</f>
        <v>1563</v>
      </c>
      <c r="H7" s="15">
        <f>SUMIF(Weelky!$C$7:$C$31,Monthly!$A7,Weelky!I$7:I$31)</f>
        <v>0</v>
      </c>
      <c r="I7" s="16">
        <f>SUMIF(Weelky!$C$7:$C$31,Monthly!$A7,Weelky!J$7:J$31)</f>
        <v>159</v>
      </c>
      <c r="J7" s="14">
        <f>SUMIF(Weelky!$C$7:$C$31,Monthly!$A7,Weelky!K$7:K$31)</f>
        <v>672</v>
      </c>
      <c r="K7" s="15">
        <f>SUMIF(Weelky!$C$7:$C$31,Monthly!$A7,Weelky!L$7:L$31)</f>
        <v>967</v>
      </c>
      <c r="L7" s="16">
        <f>SUMIF(Weelky!$C$7:$C$31,Monthly!$A7,Weelky!M$7:M$31)</f>
        <v>83</v>
      </c>
      <c r="M7" s="14">
        <f>SUMIF(Weelky!$C$7:$C$31,Monthly!$A7,Weelky!N$7:N$31)</f>
        <v>35</v>
      </c>
      <c r="N7" s="15">
        <f>SUMIF(Weelky!$C$7:$C$31,Monthly!$A7,Weelky!O$7:O$31)</f>
        <v>1029</v>
      </c>
      <c r="O7" s="16">
        <f>SUMIF(Weelky!$C$7:$C$31,Monthly!$A7,Weelky!P$7:P$31)</f>
        <v>658</v>
      </c>
      <c r="P7" s="17">
        <f>SUMIF(Weelky!$C$7:$C$31,Monthly!$A7,Weelky!Q$7:Q$31)</f>
        <v>1722</v>
      </c>
    </row>
    <row r="8" spans="1:18" x14ac:dyDescent="0.35">
      <c r="A8" s="37" t="str">
        <f t="shared" ref="A8:A20" si="0">MONTH(C8)&amp;";"&amp;YEAR(C8)</f>
        <v>7;2017</v>
      </c>
      <c r="B8" s="37" t="str">
        <f t="shared" ref="B8:B20" si="1">TEXT(C8,"mmm")</f>
        <v>Jul</v>
      </c>
      <c r="C8" s="34">
        <f>EOMONTH(C7+1,0)</f>
        <v>42947</v>
      </c>
      <c r="D8" s="18" t="str">
        <f t="shared" ref="D8:D20" si="2">TEXT(C8,"dddd")</f>
        <v>Monday</v>
      </c>
      <c r="E8" s="77">
        <f ca="1">SUMIF(Weelky!$C$7:$C$31,Monthly!$A8,Weelky!F$7:G$31)</f>
        <v>3314</v>
      </c>
      <c r="F8" s="78"/>
      <c r="G8" s="19">
        <f>SUMIF(Weelky!$C$7:$C$31,Monthly!$A8,Weelky!H$7:H$31)</f>
        <v>2981</v>
      </c>
      <c r="H8" s="20">
        <f>SUMIF(Weelky!$C$7:$C$31,Monthly!$A8,Weelky!I$7:I$31)</f>
        <v>0</v>
      </c>
      <c r="I8" s="21">
        <f>SUMIF(Weelky!$C$7:$C$31,Monthly!$A8,Weelky!J$7:J$31)</f>
        <v>333</v>
      </c>
      <c r="J8" s="19">
        <f>SUMIF(Weelky!$C$7:$C$31,Monthly!$A8,Weelky!K$7:K$31)</f>
        <v>1292</v>
      </c>
      <c r="K8" s="20">
        <f>SUMIF(Weelky!$C$7:$C$31,Monthly!$A8,Weelky!L$7:L$31)</f>
        <v>1861</v>
      </c>
      <c r="L8" s="21">
        <f>SUMIF(Weelky!$C$7:$C$31,Monthly!$A8,Weelky!M$7:M$31)</f>
        <v>161</v>
      </c>
      <c r="M8" s="19">
        <f>SUMIF(Weelky!$C$7:$C$31,Monthly!$A8,Weelky!N$7:N$31)</f>
        <v>73</v>
      </c>
      <c r="N8" s="20">
        <f>SUMIF(Weelky!$C$7:$C$31,Monthly!$A8,Weelky!O$7:O$31)</f>
        <v>1959</v>
      </c>
      <c r="O8" s="21">
        <f>SUMIF(Weelky!$C$7:$C$31,Monthly!$A8,Weelky!P$7:P$31)</f>
        <v>1282</v>
      </c>
      <c r="P8" s="22">
        <f>SUMIF(Weelky!$C$7:$C$31,Monthly!$A8,Weelky!Q$7:Q$31)</f>
        <v>3314</v>
      </c>
    </row>
    <row r="9" spans="1:18" x14ac:dyDescent="0.35">
      <c r="A9" s="37" t="str">
        <f t="shared" si="0"/>
        <v>8;2017</v>
      </c>
      <c r="B9" s="37" t="str">
        <f t="shared" si="1"/>
        <v>Aug</v>
      </c>
      <c r="C9" s="34">
        <f>EOMONTH(C8+1,0)</f>
        <v>42978</v>
      </c>
      <c r="D9" s="23" t="str">
        <f t="shared" si="2"/>
        <v>Thursday</v>
      </c>
      <c r="E9" s="77">
        <f ca="1">SUMIF(Weelky!$C$7:$C$31,Monthly!$A9,Weelky!F$7:G$31)</f>
        <v>2518</v>
      </c>
      <c r="F9" s="78"/>
      <c r="G9" s="19">
        <f>SUMIF(Weelky!$C$7:$C$31,Monthly!$A9,Weelky!H$7:H$31)</f>
        <v>2272</v>
      </c>
      <c r="H9" s="25">
        <f>SUMIF(Weelky!$C$7:$C$31,Monthly!$A9,Weelky!I$7:I$31)</f>
        <v>0</v>
      </c>
      <c r="I9" s="26">
        <f>SUMIF(Weelky!$C$7:$C$31,Monthly!$A9,Weelky!J$7:J$31)</f>
        <v>246</v>
      </c>
      <c r="J9" s="24">
        <f>SUMIF(Weelky!$C$7:$C$31,Monthly!$A9,Weelky!K$7:K$31)</f>
        <v>982</v>
      </c>
      <c r="K9" s="25">
        <f>SUMIF(Weelky!$C$7:$C$31,Monthly!$A9,Weelky!L$7:L$31)</f>
        <v>1414</v>
      </c>
      <c r="L9" s="26">
        <f>SUMIF(Weelky!$C$7:$C$31,Monthly!$A9,Weelky!M$7:M$31)</f>
        <v>122</v>
      </c>
      <c r="M9" s="24">
        <f>SUMIF(Weelky!$C$7:$C$31,Monthly!$A9,Weelky!N$7:N$31)</f>
        <v>54</v>
      </c>
      <c r="N9" s="25">
        <f>SUMIF(Weelky!$C$7:$C$31,Monthly!$A9,Weelky!O$7:O$31)</f>
        <v>1494</v>
      </c>
      <c r="O9" s="26">
        <f>SUMIF(Weelky!$C$7:$C$31,Monthly!$A9,Weelky!P$7:P$31)</f>
        <v>970</v>
      </c>
      <c r="P9" s="27">
        <f>SUMIF(Weelky!$C$7:$C$31,Monthly!$A9,Weelky!Q$7:Q$31)</f>
        <v>2518</v>
      </c>
    </row>
    <row r="10" spans="1:18" x14ac:dyDescent="0.35">
      <c r="A10" s="37" t="str">
        <f t="shared" si="0"/>
        <v>9;2017</v>
      </c>
      <c r="B10" s="37" t="str">
        <f t="shared" si="1"/>
        <v>Sep</v>
      </c>
      <c r="C10" s="34">
        <f t="shared" ref="C10:C20" si="3">EOMONTH(C9+1,0)</f>
        <v>43008</v>
      </c>
      <c r="D10" s="23" t="str">
        <f t="shared" si="2"/>
        <v>Saturday</v>
      </c>
      <c r="E10" s="77">
        <f ca="1">SUMIF(Weelky!$C$7:$C$31,Monthly!$A10,Weelky!F$7:G$31)</f>
        <v>2981</v>
      </c>
      <c r="F10" s="78"/>
      <c r="G10" s="19">
        <f>SUMIF(Weelky!$C$7:$C$31,Monthly!$A10,Weelky!H$7:H$31)</f>
        <v>2699</v>
      </c>
      <c r="H10" s="25">
        <f>SUMIF(Weelky!$C$7:$C$31,Monthly!$A10,Weelky!I$7:I$31)</f>
        <v>0</v>
      </c>
      <c r="I10" s="26">
        <f>SUMIF(Weelky!$C$7:$C$31,Monthly!$A10,Weelky!J$7:J$31)</f>
        <v>282</v>
      </c>
      <c r="J10" s="24">
        <f>SUMIF(Weelky!$C$7:$C$31,Monthly!$A10,Weelky!K$7:K$31)</f>
        <v>1163</v>
      </c>
      <c r="K10" s="25">
        <f>SUMIF(Weelky!$C$7:$C$31,Monthly!$A10,Weelky!L$7:L$31)</f>
        <v>1674</v>
      </c>
      <c r="L10" s="26">
        <f>SUMIF(Weelky!$C$7:$C$31,Monthly!$A10,Weelky!M$7:M$31)</f>
        <v>144</v>
      </c>
      <c r="M10" s="24">
        <f>SUMIF(Weelky!$C$7:$C$31,Monthly!$A10,Weelky!N$7:N$31)</f>
        <v>62</v>
      </c>
      <c r="N10" s="25">
        <f>SUMIF(Weelky!$C$7:$C$31,Monthly!$A10,Weelky!O$7:O$31)</f>
        <v>1776</v>
      </c>
      <c r="O10" s="26">
        <f>SUMIF(Weelky!$C$7:$C$31,Monthly!$A10,Weelky!P$7:P$31)</f>
        <v>1143</v>
      </c>
      <c r="P10" s="27">
        <f>SUMIF(Weelky!$C$7:$C$31,Monthly!$A10,Weelky!Q$7:Q$31)</f>
        <v>2981</v>
      </c>
    </row>
    <row r="11" spans="1:18" x14ac:dyDescent="0.35">
      <c r="A11" s="37" t="str">
        <f t="shared" si="0"/>
        <v>10;2017</v>
      </c>
      <c r="B11" s="37" t="str">
        <f t="shared" si="1"/>
        <v>Oct</v>
      </c>
      <c r="C11" s="34">
        <f t="shared" si="3"/>
        <v>43039</v>
      </c>
      <c r="D11" s="23" t="str">
        <f t="shared" si="2"/>
        <v>Tuesday</v>
      </c>
      <c r="E11" s="77">
        <f ca="1">SUMIF(Weelky!$C$7:$C$31,Monthly!$A11,Weelky!F$7:G$31)</f>
        <v>2518</v>
      </c>
      <c r="F11" s="78"/>
      <c r="G11" s="19">
        <f>SUMIF(Weelky!$C$7:$C$31,Monthly!$A11,Weelky!H$7:H$31)</f>
        <v>2272</v>
      </c>
      <c r="H11" s="25">
        <f>SUMIF(Weelky!$C$7:$C$31,Monthly!$A11,Weelky!I$7:I$31)</f>
        <v>0</v>
      </c>
      <c r="I11" s="26">
        <f>SUMIF(Weelky!$C$7:$C$31,Monthly!$A11,Weelky!J$7:J$31)</f>
        <v>246</v>
      </c>
      <c r="J11" s="24">
        <f>SUMIF(Weelky!$C$7:$C$31,Monthly!$A11,Weelky!K$7:K$31)</f>
        <v>982</v>
      </c>
      <c r="K11" s="25">
        <f>SUMIF(Weelky!$C$7:$C$31,Monthly!$A11,Weelky!L$7:L$31)</f>
        <v>1414</v>
      </c>
      <c r="L11" s="26">
        <f>SUMIF(Weelky!$C$7:$C$31,Monthly!$A11,Weelky!M$7:M$31)</f>
        <v>122</v>
      </c>
      <c r="M11" s="24">
        <f>SUMIF(Weelky!$C$7:$C$31,Monthly!$A11,Weelky!N$7:N$31)</f>
        <v>54</v>
      </c>
      <c r="N11" s="25">
        <f>SUMIF(Weelky!$C$7:$C$31,Monthly!$A11,Weelky!O$7:O$31)</f>
        <v>1494</v>
      </c>
      <c r="O11" s="26">
        <f>SUMIF(Weelky!$C$7:$C$31,Monthly!$A11,Weelky!P$7:P$31)</f>
        <v>970</v>
      </c>
      <c r="P11" s="27">
        <f>SUMIF(Weelky!$C$7:$C$31,Monthly!$A11,Weelky!Q$7:Q$31)</f>
        <v>2518</v>
      </c>
    </row>
    <row r="12" spans="1:18" x14ac:dyDescent="0.35">
      <c r="A12" s="37" t="str">
        <f t="shared" si="0"/>
        <v>11;2017</v>
      </c>
      <c r="B12" s="37" t="str">
        <f t="shared" si="1"/>
        <v>Nov</v>
      </c>
      <c r="C12" s="34">
        <f t="shared" si="3"/>
        <v>43069</v>
      </c>
      <c r="D12" s="23" t="str">
        <f t="shared" si="2"/>
        <v>Thursday</v>
      </c>
      <c r="E12" s="77">
        <f ca="1">SUMIF(Weelky!$C$7:$C$31,Monthly!$A12,Weelky!F$7:G$31)</f>
        <v>2055</v>
      </c>
      <c r="F12" s="78"/>
      <c r="G12" s="19">
        <f>SUMIF(Weelky!$C$7:$C$31,Monthly!$A12,Weelky!H$7:H$31)</f>
        <v>1845</v>
      </c>
      <c r="H12" s="25">
        <f>SUMIF(Weelky!$C$7:$C$31,Monthly!$A12,Weelky!I$7:I$31)</f>
        <v>0</v>
      </c>
      <c r="I12" s="26">
        <f>SUMIF(Weelky!$C$7:$C$31,Monthly!$A12,Weelky!J$7:J$31)</f>
        <v>210</v>
      </c>
      <c r="J12" s="24">
        <f>SUMIF(Weelky!$C$7:$C$31,Monthly!$A12,Weelky!K$7:K$31)</f>
        <v>801</v>
      </c>
      <c r="K12" s="25">
        <f>SUMIF(Weelky!$C$7:$C$31,Monthly!$A12,Weelky!L$7:L$31)</f>
        <v>1154</v>
      </c>
      <c r="L12" s="26">
        <f>SUMIF(Weelky!$C$7:$C$31,Monthly!$A12,Weelky!M$7:M$31)</f>
        <v>100</v>
      </c>
      <c r="M12" s="24">
        <f>SUMIF(Weelky!$C$7:$C$31,Monthly!$A12,Weelky!N$7:N$31)</f>
        <v>46</v>
      </c>
      <c r="N12" s="25">
        <f>SUMIF(Weelky!$C$7:$C$31,Monthly!$A12,Weelky!O$7:O$31)</f>
        <v>1212</v>
      </c>
      <c r="O12" s="26">
        <f>SUMIF(Weelky!$C$7:$C$31,Monthly!$A12,Weelky!P$7:P$31)</f>
        <v>797</v>
      </c>
      <c r="P12" s="27">
        <f>SUMIF(Weelky!$C$7:$C$31,Monthly!$A12,Weelky!Q$7:Q$31)</f>
        <v>2055</v>
      </c>
    </row>
    <row r="13" spans="1:18" x14ac:dyDescent="0.35">
      <c r="A13" s="37" t="str">
        <f t="shared" si="0"/>
        <v>12;2017</v>
      </c>
      <c r="B13" s="37" t="str">
        <f t="shared" si="1"/>
        <v>Dec</v>
      </c>
      <c r="C13" s="34">
        <f t="shared" si="3"/>
        <v>43100</v>
      </c>
      <c r="D13" s="23" t="str">
        <f t="shared" si="2"/>
        <v>Sunday</v>
      </c>
      <c r="E13" s="77">
        <f>SUMIF(Weelky!$C$7:$C$31,Monthly!$A13,Weelky!F$7:G$31)</f>
        <v>0</v>
      </c>
      <c r="F13" s="78"/>
      <c r="G13" s="19">
        <f>SUMIF(Weelky!$C$7:$C$31,Monthly!$A13,Weelky!H$7:H$31)</f>
        <v>0</v>
      </c>
      <c r="H13" s="25">
        <f>SUMIF(Weelky!$C$7:$C$31,Monthly!$A13,Weelky!I$7:I$31)</f>
        <v>0</v>
      </c>
      <c r="I13" s="26">
        <f>SUMIF(Weelky!$C$7:$C$31,Monthly!$A13,Weelky!J$7:J$31)</f>
        <v>0</v>
      </c>
      <c r="J13" s="24">
        <f>SUMIF(Weelky!$C$7:$C$31,Monthly!$A13,Weelky!K$7:K$31)</f>
        <v>0</v>
      </c>
      <c r="K13" s="25">
        <f>SUMIF(Weelky!$C$7:$C$31,Monthly!$A13,Weelky!L$7:L$31)</f>
        <v>0</v>
      </c>
      <c r="L13" s="26">
        <f>SUMIF(Weelky!$C$7:$C$31,Monthly!$A13,Weelky!M$7:M$31)</f>
        <v>0</v>
      </c>
      <c r="M13" s="24">
        <f>SUMIF(Weelky!$C$7:$C$31,Monthly!$A13,Weelky!N$7:N$31)</f>
        <v>0</v>
      </c>
      <c r="N13" s="25">
        <f>SUMIF(Weelky!$C$7:$C$31,Monthly!$A13,Weelky!O$7:O$31)</f>
        <v>0</v>
      </c>
      <c r="O13" s="26">
        <f>SUMIF(Weelky!$C$7:$C$31,Monthly!$A13,Weelky!P$7:P$31)</f>
        <v>0</v>
      </c>
      <c r="P13" s="27">
        <f>SUMIF(Weelky!$C$7:$C$31,Monthly!$A13,Weelky!Q$7:Q$31)</f>
        <v>0</v>
      </c>
    </row>
    <row r="14" spans="1:18" x14ac:dyDescent="0.35">
      <c r="A14" s="37" t="str">
        <f t="shared" si="0"/>
        <v>1;2018</v>
      </c>
      <c r="B14" s="37" t="str">
        <f t="shared" si="1"/>
        <v>Jan</v>
      </c>
      <c r="C14" s="34">
        <f t="shared" si="3"/>
        <v>43131</v>
      </c>
      <c r="D14" s="23" t="str">
        <f t="shared" si="2"/>
        <v>Wednesday</v>
      </c>
      <c r="E14" s="77">
        <f>SUMIF(Weelky!$C$7:$C$31,Monthly!$A14,Weelky!F$7:G$31)</f>
        <v>0</v>
      </c>
      <c r="F14" s="78"/>
      <c r="G14" s="19">
        <f>SUMIF(Weelky!$C$7:$C$31,Monthly!$A14,Weelky!H$7:H$31)</f>
        <v>0</v>
      </c>
      <c r="H14" s="25">
        <f>SUMIF(Weelky!$C$7:$C$31,Monthly!$A14,Weelky!I$7:I$31)</f>
        <v>0</v>
      </c>
      <c r="I14" s="26">
        <f>SUMIF(Weelky!$C$7:$C$31,Monthly!$A14,Weelky!J$7:J$31)</f>
        <v>0</v>
      </c>
      <c r="J14" s="24">
        <f>SUMIF(Weelky!$C$7:$C$31,Monthly!$A14,Weelky!K$7:K$31)</f>
        <v>0</v>
      </c>
      <c r="K14" s="25">
        <f>SUMIF(Weelky!$C$7:$C$31,Monthly!$A14,Weelky!L$7:L$31)</f>
        <v>0</v>
      </c>
      <c r="L14" s="26">
        <f>SUMIF(Weelky!$C$7:$C$31,Monthly!$A14,Weelky!M$7:M$31)</f>
        <v>0</v>
      </c>
      <c r="M14" s="24">
        <f>SUMIF(Weelky!$C$7:$C$31,Monthly!$A14,Weelky!N$7:N$31)</f>
        <v>0</v>
      </c>
      <c r="N14" s="25">
        <f>SUMIF(Weelky!$C$7:$C$31,Monthly!$A14,Weelky!O$7:O$31)</f>
        <v>0</v>
      </c>
      <c r="O14" s="26">
        <f>SUMIF(Weelky!$C$7:$C$31,Monthly!$A14,Weelky!P$7:P$31)</f>
        <v>0</v>
      </c>
      <c r="P14" s="27">
        <f>SUMIF(Weelky!$C$7:$C$31,Monthly!$A14,Weelky!Q$7:Q$31)</f>
        <v>0</v>
      </c>
    </row>
    <row r="15" spans="1:18" x14ac:dyDescent="0.35">
      <c r="A15" s="37" t="str">
        <f t="shared" si="0"/>
        <v>2;2018</v>
      </c>
      <c r="B15" s="37" t="str">
        <f t="shared" si="1"/>
        <v>Feb</v>
      </c>
      <c r="C15" s="34">
        <f t="shared" si="3"/>
        <v>43159</v>
      </c>
      <c r="D15" s="23" t="str">
        <f t="shared" si="2"/>
        <v>Wednesday</v>
      </c>
      <c r="E15" s="77">
        <f>SUMIF(Weelky!$C$7:$C$31,Monthly!$A15,Weelky!F$7:G$31)</f>
        <v>0</v>
      </c>
      <c r="F15" s="78"/>
      <c r="G15" s="19">
        <f>SUMIF(Weelky!$C$7:$C$31,Monthly!$A15,Weelky!H$7:H$31)</f>
        <v>0</v>
      </c>
      <c r="H15" s="25">
        <f>SUMIF(Weelky!$C$7:$C$31,Monthly!$A15,Weelky!I$7:I$31)</f>
        <v>0</v>
      </c>
      <c r="I15" s="26">
        <f>SUMIF(Weelky!$C$7:$C$31,Monthly!$A15,Weelky!J$7:J$31)</f>
        <v>0</v>
      </c>
      <c r="J15" s="24">
        <f>SUMIF(Weelky!$C$7:$C$31,Monthly!$A15,Weelky!K$7:K$31)</f>
        <v>0</v>
      </c>
      <c r="K15" s="25">
        <f>SUMIF(Weelky!$C$7:$C$31,Monthly!$A15,Weelky!L$7:L$31)</f>
        <v>0</v>
      </c>
      <c r="L15" s="26">
        <f>SUMIF(Weelky!$C$7:$C$31,Monthly!$A15,Weelky!M$7:M$31)</f>
        <v>0</v>
      </c>
      <c r="M15" s="24">
        <f>SUMIF(Weelky!$C$7:$C$31,Monthly!$A15,Weelky!N$7:N$31)</f>
        <v>0</v>
      </c>
      <c r="N15" s="25">
        <f>SUMIF(Weelky!$C$7:$C$31,Monthly!$A15,Weelky!O$7:O$31)</f>
        <v>0</v>
      </c>
      <c r="O15" s="26">
        <f>SUMIF(Weelky!$C$7:$C$31,Monthly!$A15,Weelky!P$7:P$31)</f>
        <v>0</v>
      </c>
      <c r="P15" s="27">
        <f>SUMIF(Weelky!$C$7:$C$31,Monthly!$A15,Weelky!Q$7:Q$31)</f>
        <v>0</v>
      </c>
    </row>
    <row r="16" spans="1:18" x14ac:dyDescent="0.35">
      <c r="A16" s="37" t="str">
        <f t="shared" si="0"/>
        <v>3;2018</v>
      </c>
      <c r="B16" s="37" t="str">
        <f t="shared" si="1"/>
        <v>Mar</v>
      </c>
      <c r="C16" s="34">
        <f t="shared" si="3"/>
        <v>43190</v>
      </c>
      <c r="D16" s="23" t="str">
        <f t="shared" si="2"/>
        <v>Saturday</v>
      </c>
      <c r="E16" s="77">
        <f>SUMIF(Weelky!$C$7:$C$31,Monthly!$A16,Weelky!F$7:G$31)</f>
        <v>0</v>
      </c>
      <c r="F16" s="78"/>
      <c r="G16" s="19">
        <f>SUMIF(Weelky!$C$7:$C$31,Monthly!$A16,Weelky!H$7:H$31)</f>
        <v>0</v>
      </c>
      <c r="H16" s="25">
        <f>SUMIF(Weelky!$C$7:$C$31,Monthly!$A16,Weelky!I$7:I$31)</f>
        <v>0</v>
      </c>
      <c r="I16" s="26">
        <f>SUMIF(Weelky!$C$7:$C$31,Monthly!$A16,Weelky!J$7:J$31)</f>
        <v>0</v>
      </c>
      <c r="J16" s="24">
        <f>SUMIF(Weelky!$C$7:$C$31,Monthly!$A16,Weelky!K$7:K$31)</f>
        <v>0</v>
      </c>
      <c r="K16" s="25">
        <f>SUMIF(Weelky!$C$7:$C$31,Monthly!$A16,Weelky!L$7:L$31)</f>
        <v>0</v>
      </c>
      <c r="L16" s="26">
        <f>SUMIF(Weelky!$C$7:$C$31,Monthly!$A16,Weelky!M$7:M$31)</f>
        <v>0</v>
      </c>
      <c r="M16" s="24">
        <f>SUMIF(Weelky!$C$7:$C$31,Monthly!$A16,Weelky!N$7:N$31)</f>
        <v>0</v>
      </c>
      <c r="N16" s="25">
        <f>SUMIF(Weelky!$C$7:$C$31,Monthly!$A16,Weelky!O$7:O$31)</f>
        <v>0</v>
      </c>
      <c r="O16" s="26">
        <f>SUMIF(Weelky!$C$7:$C$31,Monthly!$A16,Weelky!P$7:P$31)</f>
        <v>0</v>
      </c>
      <c r="P16" s="27">
        <f>SUMIF(Weelky!$C$7:$C$31,Monthly!$A16,Weelky!Q$7:Q$31)</f>
        <v>0</v>
      </c>
    </row>
    <row r="17" spans="1:16" x14ac:dyDescent="0.35">
      <c r="A17" s="37" t="str">
        <f t="shared" si="0"/>
        <v>4;2018</v>
      </c>
      <c r="B17" s="37" t="str">
        <f t="shared" si="1"/>
        <v>Apr</v>
      </c>
      <c r="C17" s="34">
        <f t="shared" si="3"/>
        <v>43220</v>
      </c>
      <c r="D17" s="23" t="str">
        <f t="shared" si="2"/>
        <v>Monday</v>
      </c>
      <c r="E17" s="77">
        <f>SUMIF(Weelky!$C$7:$C$31,Monthly!$A17,Weelky!F$7:G$31)</f>
        <v>0</v>
      </c>
      <c r="F17" s="78"/>
      <c r="G17" s="19">
        <f>SUMIF(Weelky!$C$7:$C$31,Monthly!$A17,Weelky!H$7:H$31)</f>
        <v>0</v>
      </c>
      <c r="H17" s="25">
        <f>SUMIF(Weelky!$C$7:$C$31,Monthly!$A17,Weelky!I$7:I$31)</f>
        <v>0</v>
      </c>
      <c r="I17" s="26">
        <f>SUMIF(Weelky!$C$7:$C$31,Monthly!$A17,Weelky!J$7:J$31)</f>
        <v>0</v>
      </c>
      <c r="J17" s="24">
        <f>SUMIF(Weelky!$C$7:$C$31,Monthly!$A17,Weelky!K$7:K$31)</f>
        <v>0</v>
      </c>
      <c r="K17" s="25">
        <f>SUMIF(Weelky!$C$7:$C$31,Monthly!$A17,Weelky!L$7:L$31)</f>
        <v>0</v>
      </c>
      <c r="L17" s="26">
        <f>SUMIF(Weelky!$C$7:$C$31,Monthly!$A17,Weelky!M$7:M$31)</f>
        <v>0</v>
      </c>
      <c r="M17" s="24">
        <f>SUMIF(Weelky!$C$7:$C$31,Monthly!$A17,Weelky!N$7:N$31)</f>
        <v>0</v>
      </c>
      <c r="N17" s="25">
        <f>SUMIF(Weelky!$C$7:$C$31,Monthly!$A17,Weelky!O$7:O$31)</f>
        <v>0</v>
      </c>
      <c r="O17" s="26">
        <f>SUMIF(Weelky!$C$7:$C$31,Monthly!$A17,Weelky!P$7:P$31)</f>
        <v>0</v>
      </c>
      <c r="P17" s="27">
        <f>SUMIF(Weelky!$C$7:$C$31,Monthly!$A17,Weelky!Q$7:Q$31)</f>
        <v>0</v>
      </c>
    </row>
    <row r="18" spans="1:16" x14ac:dyDescent="0.35">
      <c r="A18" s="37" t="str">
        <f t="shared" si="0"/>
        <v>5;2018</v>
      </c>
      <c r="B18" s="37" t="str">
        <f t="shared" si="1"/>
        <v>May</v>
      </c>
      <c r="C18" s="34">
        <f t="shared" si="3"/>
        <v>43251</v>
      </c>
      <c r="D18" s="23" t="str">
        <f t="shared" si="2"/>
        <v>Thursday</v>
      </c>
      <c r="E18" s="77">
        <f>SUMIF(Weelky!$C$7:$C$31,Monthly!$A18,Weelky!F$7:G$31)</f>
        <v>0</v>
      </c>
      <c r="F18" s="78"/>
      <c r="G18" s="19">
        <f>SUMIF(Weelky!$C$7:$C$31,Monthly!$A18,Weelky!H$7:H$31)</f>
        <v>0</v>
      </c>
      <c r="H18" s="25">
        <f>SUMIF(Weelky!$C$7:$C$31,Monthly!$A18,Weelky!I$7:I$31)</f>
        <v>0</v>
      </c>
      <c r="I18" s="26">
        <f>SUMIF(Weelky!$C$7:$C$31,Monthly!$A18,Weelky!J$7:J$31)</f>
        <v>0</v>
      </c>
      <c r="J18" s="24">
        <f>SUMIF(Weelky!$C$7:$C$31,Monthly!$A18,Weelky!K$7:K$31)</f>
        <v>0</v>
      </c>
      <c r="K18" s="25">
        <f>SUMIF(Weelky!$C$7:$C$31,Monthly!$A18,Weelky!L$7:L$31)</f>
        <v>0</v>
      </c>
      <c r="L18" s="26">
        <f>SUMIF(Weelky!$C$7:$C$31,Monthly!$A18,Weelky!M$7:M$31)</f>
        <v>0</v>
      </c>
      <c r="M18" s="24">
        <f>SUMIF(Weelky!$C$7:$C$31,Monthly!$A18,Weelky!N$7:N$31)</f>
        <v>0</v>
      </c>
      <c r="N18" s="25">
        <f>SUMIF(Weelky!$C$7:$C$31,Monthly!$A18,Weelky!O$7:O$31)</f>
        <v>0</v>
      </c>
      <c r="O18" s="26">
        <f>SUMIF(Weelky!$C$7:$C$31,Monthly!$A18,Weelky!P$7:P$31)</f>
        <v>0</v>
      </c>
      <c r="P18" s="27">
        <f>SUMIF(Weelky!$C$7:$C$31,Monthly!$A18,Weelky!Q$7:Q$31)</f>
        <v>0</v>
      </c>
    </row>
    <row r="19" spans="1:16" x14ac:dyDescent="0.35">
      <c r="A19" s="37" t="str">
        <f t="shared" si="0"/>
        <v>6;2018</v>
      </c>
      <c r="B19" s="37" t="str">
        <f t="shared" si="1"/>
        <v>Jun</v>
      </c>
      <c r="C19" s="34">
        <f t="shared" si="3"/>
        <v>43281</v>
      </c>
      <c r="D19" s="23" t="str">
        <f t="shared" si="2"/>
        <v>Saturday</v>
      </c>
      <c r="E19" s="77">
        <f>SUMIF(Weelky!$C$7:$C$31,Monthly!$A19,Weelky!F$7:G$31)</f>
        <v>0</v>
      </c>
      <c r="F19" s="78"/>
      <c r="G19" s="19">
        <f>SUMIF(Weelky!$C$7:$C$31,Monthly!$A19,Weelky!H$7:H$31)</f>
        <v>0</v>
      </c>
      <c r="H19" s="25">
        <f>SUMIF(Weelky!$C$7:$C$31,Monthly!$A19,Weelky!I$7:I$31)</f>
        <v>0</v>
      </c>
      <c r="I19" s="26">
        <f>SUMIF(Weelky!$C$7:$C$31,Monthly!$A19,Weelky!J$7:J$31)</f>
        <v>0</v>
      </c>
      <c r="J19" s="24">
        <f>SUMIF(Weelky!$C$7:$C$31,Monthly!$A19,Weelky!K$7:K$31)</f>
        <v>0</v>
      </c>
      <c r="K19" s="25">
        <f>SUMIF(Weelky!$C$7:$C$31,Monthly!$A19,Weelky!L$7:L$31)</f>
        <v>0</v>
      </c>
      <c r="L19" s="26">
        <f>SUMIF(Weelky!$C$7:$C$31,Monthly!$A19,Weelky!M$7:M$31)</f>
        <v>0</v>
      </c>
      <c r="M19" s="24">
        <f>SUMIF(Weelky!$C$7:$C$31,Monthly!$A19,Weelky!N$7:N$31)</f>
        <v>0</v>
      </c>
      <c r="N19" s="25">
        <f>SUMIF(Weelky!$C$7:$C$31,Monthly!$A19,Weelky!O$7:O$31)</f>
        <v>0</v>
      </c>
      <c r="O19" s="26">
        <f>SUMIF(Weelky!$C$7:$C$31,Monthly!$A19,Weelky!P$7:P$31)</f>
        <v>0</v>
      </c>
      <c r="P19" s="27">
        <f>SUMIF(Weelky!$C$7:$C$31,Monthly!$A19,Weelky!Q$7:Q$31)</f>
        <v>0</v>
      </c>
    </row>
    <row r="20" spans="1:16" ht="15" thickBot="1" x14ac:dyDescent="0.4">
      <c r="A20" s="37" t="str">
        <f t="shared" si="0"/>
        <v>7;2018</v>
      </c>
      <c r="B20" s="37" t="str">
        <f t="shared" si="1"/>
        <v>Jul</v>
      </c>
      <c r="C20" s="39">
        <f t="shared" si="3"/>
        <v>43312</v>
      </c>
      <c r="D20" s="28" t="str">
        <f t="shared" si="2"/>
        <v>Tuesday</v>
      </c>
      <c r="E20" s="105">
        <f>SUMIF(Weelky!$C$7:$C$31,Monthly!$A20,Weelky!F$7:G$31)</f>
        <v>0</v>
      </c>
      <c r="F20" s="106"/>
      <c r="G20" s="29">
        <f>SUMIF(Weelky!$C$7:$C$31,Monthly!$A20,Weelky!H$7:H$31)</f>
        <v>0</v>
      </c>
      <c r="H20" s="30">
        <f>SUMIF(Weelky!$C$7:$C$31,Monthly!$A20,Weelky!I$7:I$31)</f>
        <v>0</v>
      </c>
      <c r="I20" s="31">
        <f>SUMIF(Weelky!$C$7:$C$31,Monthly!$A20,Weelky!J$7:J$31)</f>
        <v>0</v>
      </c>
      <c r="J20" s="29">
        <f>SUMIF(Weelky!$C$7:$C$31,Monthly!$A20,Weelky!K$7:K$31)</f>
        <v>0</v>
      </c>
      <c r="K20" s="30">
        <f>SUMIF(Weelky!$C$7:$C$31,Monthly!$A20,Weelky!L$7:L$31)</f>
        <v>0</v>
      </c>
      <c r="L20" s="31">
        <f>SUMIF(Weelky!$C$7:$C$31,Monthly!$A20,Weelky!M$7:M$31)</f>
        <v>0</v>
      </c>
      <c r="M20" s="29">
        <f>SUMIF(Weelky!$C$7:$C$31,Monthly!$A20,Weelky!N$7:N$31)</f>
        <v>0</v>
      </c>
      <c r="N20" s="30">
        <f>SUMIF(Weelky!$C$7:$C$31,Monthly!$A20,Weelky!O$7:O$31)</f>
        <v>0</v>
      </c>
      <c r="O20" s="31">
        <f>SUMIF(Weelky!$C$7:$C$31,Monthly!$A20,Weelky!P$7:P$31)</f>
        <v>0</v>
      </c>
      <c r="P20" s="32">
        <f>SUMIF(Weelky!$C$7:$C$31,Monthly!$A20,Weelky!Q$7:Q$31)</f>
        <v>0</v>
      </c>
    </row>
  </sheetData>
  <mergeCells count="30">
    <mergeCell ref="P3:P6"/>
    <mergeCell ref="L5:L6"/>
    <mergeCell ref="M5:M6"/>
    <mergeCell ref="J5:J6"/>
    <mergeCell ref="K5:K6"/>
    <mergeCell ref="N5:N6"/>
    <mergeCell ref="O5:O6"/>
    <mergeCell ref="J3:L4"/>
    <mergeCell ref="M3:O4"/>
    <mergeCell ref="E16:F16"/>
    <mergeCell ref="E17:F17"/>
    <mergeCell ref="E18:F18"/>
    <mergeCell ref="E19:F19"/>
    <mergeCell ref="E20:F20"/>
    <mergeCell ref="G3:I4"/>
    <mergeCell ref="E10:F10"/>
    <mergeCell ref="E11:F11"/>
    <mergeCell ref="E12:F12"/>
    <mergeCell ref="E13:F13"/>
    <mergeCell ref="G5:G6"/>
    <mergeCell ref="H5:H6"/>
    <mergeCell ref="I5:I6"/>
    <mergeCell ref="E14:F14"/>
    <mergeCell ref="E15:F15"/>
    <mergeCell ref="C3:C6"/>
    <mergeCell ref="D3:D6"/>
    <mergeCell ref="E3:F6"/>
    <mergeCell ref="E7:F7"/>
    <mergeCell ref="E8:F8"/>
    <mergeCell ref="E9:F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T175"/>
  <sheetViews>
    <sheetView showGridLines="0" workbookViewId="0"/>
  </sheetViews>
  <sheetFormatPr defaultColWidth="9.1796875" defaultRowHeight="14.5" x14ac:dyDescent="0.35"/>
  <cols>
    <col min="1" max="8" width="9.1796875" style="1"/>
    <col min="9" max="9" width="18.1796875" style="1" bestFit="1" customWidth="1"/>
    <col min="10" max="16" width="9.1796875" style="1"/>
    <col min="17" max="17" width="15" style="1" bestFit="1" customWidth="1"/>
    <col min="18" max="16384" width="9.1796875" style="1"/>
  </cols>
  <sheetData>
    <row r="2" spans="1:19" ht="15" thickBot="1" x14ac:dyDescent="0.4"/>
    <row r="3" spans="1:19" x14ac:dyDescent="0.35">
      <c r="D3" s="137" t="s">
        <v>39</v>
      </c>
      <c r="E3" s="138"/>
      <c r="F3" s="143" t="s">
        <v>40</v>
      </c>
      <c r="G3" s="144"/>
      <c r="H3" s="93" t="s">
        <v>28</v>
      </c>
      <c r="I3" s="94"/>
      <c r="J3" s="95"/>
      <c r="K3" s="122" t="s">
        <v>14</v>
      </c>
      <c r="L3" s="123"/>
      <c r="M3" s="124"/>
      <c r="N3" s="128" t="s">
        <v>15</v>
      </c>
      <c r="O3" s="129"/>
      <c r="P3" s="130"/>
      <c r="Q3" s="107" t="s">
        <v>38</v>
      </c>
    </row>
    <row r="4" spans="1:19" x14ac:dyDescent="0.35">
      <c r="D4" s="139"/>
      <c r="E4" s="140"/>
      <c r="F4" s="66"/>
      <c r="G4" s="145"/>
      <c r="H4" s="96"/>
      <c r="I4" s="97"/>
      <c r="J4" s="98"/>
      <c r="K4" s="125"/>
      <c r="L4" s="126"/>
      <c r="M4" s="127"/>
      <c r="N4" s="131"/>
      <c r="O4" s="76"/>
      <c r="P4" s="132"/>
      <c r="Q4" s="108"/>
      <c r="S4"/>
    </row>
    <row r="5" spans="1:19" x14ac:dyDescent="0.35">
      <c r="D5" s="139"/>
      <c r="E5" s="140"/>
      <c r="F5" s="66"/>
      <c r="G5" s="145"/>
      <c r="H5" s="99" t="s">
        <v>29</v>
      </c>
      <c r="I5" s="101" t="s">
        <v>30</v>
      </c>
      <c r="J5" s="103" t="s">
        <v>31</v>
      </c>
      <c r="K5" s="114" t="s">
        <v>32</v>
      </c>
      <c r="L5" s="116" t="s">
        <v>33</v>
      </c>
      <c r="M5" s="110" t="s">
        <v>34</v>
      </c>
      <c r="N5" s="112" t="s">
        <v>35</v>
      </c>
      <c r="O5" s="118" t="s">
        <v>36</v>
      </c>
      <c r="P5" s="120" t="s">
        <v>37</v>
      </c>
      <c r="Q5" s="108"/>
    </row>
    <row r="6" spans="1:19" ht="15" thickBot="1" x14ac:dyDescent="0.4">
      <c r="D6" s="141"/>
      <c r="E6" s="142"/>
      <c r="F6" s="146"/>
      <c r="G6" s="147"/>
      <c r="H6" s="100"/>
      <c r="I6" s="102"/>
      <c r="J6" s="104"/>
      <c r="K6" s="115"/>
      <c r="L6" s="117"/>
      <c r="M6" s="111"/>
      <c r="N6" s="113"/>
      <c r="O6" s="119"/>
      <c r="P6" s="121"/>
      <c r="Q6" s="109"/>
    </row>
    <row r="7" spans="1:19" x14ac:dyDescent="0.35">
      <c r="A7" s="37" t="str">
        <f>WEEKNUM(D7,1)&amp;";"&amp;YEAR(D7)</f>
        <v>23;2017</v>
      </c>
      <c r="B7" s="37" t="str">
        <f>TEXT(D7,"mmm")</f>
        <v>Jun</v>
      </c>
      <c r="C7" s="37" t="str">
        <f>MONTH(D7)&amp;";"&amp;YEAR(D7)</f>
        <v>6;2017</v>
      </c>
      <c r="D7" s="148">
        <v>42896</v>
      </c>
      <c r="E7" s="149"/>
      <c r="F7" s="150">
        <f ca="1">SUMIF(Daily!$A$7:$A$175,Weelky!$A7,Daily!$E$8:$F$175)</f>
        <v>463</v>
      </c>
      <c r="G7" s="151"/>
      <c r="H7" s="14">
        <f>SUMIF(Daily!$A$7:$A$175,Weelky!$A7,Daily!K$7:K$175)</f>
        <v>427</v>
      </c>
      <c r="I7" s="15">
        <f>SUMIF(Daily!$A$7:$A$175,Weelky!$A7,Daily!L$7:L$175)</f>
        <v>0</v>
      </c>
      <c r="J7" s="16">
        <f>SUMIF(Daily!$A$7:$A$175,Weelky!$A7,Daily!M$7:M$175)</f>
        <v>36</v>
      </c>
      <c r="K7" s="14">
        <f>SUMIF(Daily!$A$7:$A$175,Weelky!$A7,Daily!N$7:N$175)</f>
        <v>181</v>
      </c>
      <c r="L7" s="15">
        <f>SUMIF(Daily!$A$7:$A$175,Weelky!$A7,Daily!O$7:O$175)</f>
        <v>260</v>
      </c>
      <c r="M7" s="16">
        <f>SUMIF(Daily!$A$7:$A$175,Weelky!$A7,Daily!P$7:P$175)</f>
        <v>22</v>
      </c>
      <c r="N7" s="14">
        <f>SUMIF(Daily!$A$7:$A$175,Weelky!$A7,Daily!Q$7:Q$175)</f>
        <v>8</v>
      </c>
      <c r="O7" s="15">
        <f>SUMIF(Daily!$A$7:$A$175,Weelky!$A7,Daily!R$7:R$175)</f>
        <v>282</v>
      </c>
      <c r="P7" s="16">
        <f>SUMIF(Daily!$A$7:$A$175,Weelky!$A7,Daily!S$7:S$175)</f>
        <v>173</v>
      </c>
      <c r="Q7" s="17">
        <f>SUMIF(Daily!$A$7:$A$175,Weelky!$A7,Daily!T$7:T$175)</f>
        <v>463</v>
      </c>
    </row>
    <row r="8" spans="1:19" x14ac:dyDescent="0.35">
      <c r="A8" s="37" t="str">
        <f t="shared" ref="A8:A31" si="0">WEEKNUM(D8,1)&amp;";"&amp;YEAR(D8)</f>
        <v>24;2017</v>
      </c>
      <c r="B8" s="37" t="str">
        <f t="shared" ref="B8:B31" si="1">TEXT(D8,"mmm")</f>
        <v>Jun</v>
      </c>
      <c r="C8" s="37" t="str">
        <f t="shared" ref="C8:C31" si="2">MONTH(D8)&amp;";"&amp;YEAR(D8)</f>
        <v>6;2017</v>
      </c>
      <c r="D8" s="135">
        <f>D7+7</f>
        <v>42903</v>
      </c>
      <c r="E8" s="136"/>
      <c r="F8" s="133">
        <f ca="1">SUMIF(Daily!$A$7:$A$175,Weelky!$A8,Daily!$E$8:$F$175)</f>
        <v>796</v>
      </c>
      <c r="G8" s="134"/>
      <c r="H8" s="19">
        <f>SUMIF(Daily!$A$7:$A$175,Weelky!$A8,Daily!K$7:K$175)</f>
        <v>709</v>
      </c>
      <c r="I8" s="20">
        <f>SUMIF(Daily!$A$7:$A$175,Weelky!$A8,Daily!L$7:L$175)</f>
        <v>0</v>
      </c>
      <c r="J8" s="21">
        <f>SUMIF(Daily!$A$7:$A$175,Weelky!$A8,Daily!M$7:M$175)</f>
        <v>87</v>
      </c>
      <c r="K8" s="19">
        <f>SUMIF(Daily!$A$7:$A$175,Weelky!$A8,Daily!N$7:N$175)</f>
        <v>310</v>
      </c>
      <c r="L8" s="20">
        <f>SUMIF(Daily!$A$7:$A$175,Weelky!$A8,Daily!O$7:O$175)</f>
        <v>447</v>
      </c>
      <c r="M8" s="21">
        <f>SUMIF(Daily!$A$7:$A$175,Weelky!$A8,Daily!P$7:P$175)</f>
        <v>39</v>
      </c>
      <c r="N8" s="19">
        <f>SUMIF(Daily!$A$7:$A$175,Weelky!$A8,Daily!Q$7:Q$175)</f>
        <v>19</v>
      </c>
      <c r="O8" s="20">
        <f>SUMIF(Daily!$A$7:$A$175,Weelky!$A8,Daily!R$7:R$175)</f>
        <v>465</v>
      </c>
      <c r="P8" s="21">
        <f>SUMIF(Daily!$A$7:$A$175,Weelky!$A8,Daily!S$7:S$175)</f>
        <v>312</v>
      </c>
      <c r="Q8" s="22">
        <f>SUMIF(Daily!$A$7:$A$175,Weelky!$A8,Daily!T$7:T$175)</f>
        <v>796</v>
      </c>
    </row>
    <row r="9" spans="1:19" x14ac:dyDescent="0.35">
      <c r="A9" s="37" t="str">
        <f t="shared" si="0"/>
        <v>25;2017</v>
      </c>
      <c r="B9" s="37" t="str">
        <f t="shared" si="1"/>
        <v>Jun</v>
      </c>
      <c r="C9" s="37" t="str">
        <f t="shared" si="2"/>
        <v>6;2017</v>
      </c>
      <c r="D9" s="135">
        <f t="shared" ref="D9:D31" si="3">D8+7</f>
        <v>42910</v>
      </c>
      <c r="E9" s="136"/>
      <c r="F9" s="133">
        <f ca="1">SUMIF(Daily!$A$7:$A$175,Weelky!$A9,Daily!$E$8:$F$175)</f>
        <v>463</v>
      </c>
      <c r="G9" s="134"/>
      <c r="H9" s="19">
        <f>SUMIF(Daily!$A$7:$A$175,Weelky!$A9,Daily!K$7:K$175)</f>
        <v>427</v>
      </c>
      <c r="I9" s="25">
        <f>SUMIF(Daily!$A$7:$A$175,Weelky!$A9,Daily!L$7:L$175)</f>
        <v>0</v>
      </c>
      <c r="J9" s="26">
        <f>SUMIF(Daily!$A$7:$A$175,Weelky!$A9,Daily!M$7:M$175)</f>
        <v>36</v>
      </c>
      <c r="K9" s="24">
        <f>SUMIF(Daily!$A$7:$A$175,Weelky!$A9,Daily!N$7:N$175)</f>
        <v>181</v>
      </c>
      <c r="L9" s="25">
        <f>SUMIF(Daily!$A$7:$A$175,Weelky!$A9,Daily!O$7:O$175)</f>
        <v>260</v>
      </c>
      <c r="M9" s="26">
        <f>SUMIF(Daily!$A$7:$A$175,Weelky!$A9,Daily!P$7:P$175)</f>
        <v>22</v>
      </c>
      <c r="N9" s="24">
        <f>SUMIF(Daily!$A$7:$A$175,Weelky!$A9,Daily!Q$7:Q$175)</f>
        <v>8</v>
      </c>
      <c r="O9" s="25">
        <f>SUMIF(Daily!$A$7:$A$175,Weelky!$A9,Daily!R$7:R$175)</f>
        <v>282</v>
      </c>
      <c r="P9" s="26">
        <f>SUMIF(Daily!$A$7:$A$175,Weelky!$A9,Daily!S$7:S$175)</f>
        <v>173</v>
      </c>
      <c r="Q9" s="27">
        <f>SUMIF(Daily!$A$7:$A$175,Weelky!$A9,Daily!T$7:T$175)</f>
        <v>463</v>
      </c>
    </row>
    <row r="10" spans="1:19" x14ac:dyDescent="0.35">
      <c r="A10" s="37" t="str">
        <f t="shared" si="0"/>
        <v>26;2017</v>
      </c>
      <c r="B10" s="37" t="str">
        <f t="shared" si="1"/>
        <v>Jul</v>
      </c>
      <c r="C10" s="37" t="str">
        <f t="shared" si="2"/>
        <v>7;2017</v>
      </c>
      <c r="D10" s="135">
        <f t="shared" si="3"/>
        <v>42917</v>
      </c>
      <c r="E10" s="136"/>
      <c r="F10" s="133">
        <f ca="1">SUMIF(Daily!$A$7:$A$175,Weelky!$A10,Daily!$E$8:$F$175)</f>
        <v>796</v>
      </c>
      <c r="G10" s="134"/>
      <c r="H10" s="19">
        <f>SUMIF(Daily!$A$7:$A$175,Weelky!$A10,Daily!K$7:K$175)</f>
        <v>709</v>
      </c>
      <c r="I10" s="25">
        <f>SUMIF(Daily!$A$7:$A$175,Weelky!$A10,Daily!L$7:L$175)</f>
        <v>0</v>
      </c>
      <c r="J10" s="26">
        <f>SUMIF(Daily!$A$7:$A$175,Weelky!$A10,Daily!M$7:M$175)</f>
        <v>87</v>
      </c>
      <c r="K10" s="24">
        <f>SUMIF(Daily!$A$7:$A$175,Weelky!$A10,Daily!N$7:N$175)</f>
        <v>310</v>
      </c>
      <c r="L10" s="25">
        <f>SUMIF(Daily!$A$7:$A$175,Weelky!$A10,Daily!O$7:O$175)</f>
        <v>447</v>
      </c>
      <c r="M10" s="26">
        <f>SUMIF(Daily!$A$7:$A$175,Weelky!$A10,Daily!P$7:P$175)</f>
        <v>39</v>
      </c>
      <c r="N10" s="24">
        <f>SUMIF(Daily!$A$7:$A$175,Weelky!$A10,Daily!Q$7:Q$175)</f>
        <v>19</v>
      </c>
      <c r="O10" s="25">
        <f>SUMIF(Daily!$A$7:$A$175,Weelky!$A10,Daily!R$7:R$175)</f>
        <v>465</v>
      </c>
      <c r="P10" s="26">
        <f>SUMIF(Daily!$A$7:$A$175,Weelky!$A10,Daily!S$7:S$175)</f>
        <v>312</v>
      </c>
      <c r="Q10" s="27">
        <f>SUMIF(Daily!$A$7:$A$175,Weelky!$A10,Daily!T$7:T$175)</f>
        <v>796</v>
      </c>
    </row>
    <row r="11" spans="1:19" x14ac:dyDescent="0.35">
      <c r="A11" s="37" t="str">
        <f t="shared" si="0"/>
        <v>27;2017</v>
      </c>
      <c r="B11" s="37" t="str">
        <f t="shared" si="1"/>
        <v>Jul</v>
      </c>
      <c r="C11" s="37" t="str">
        <f t="shared" si="2"/>
        <v>7;2017</v>
      </c>
      <c r="D11" s="135">
        <f t="shared" si="3"/>
        <v>42924</v>
      </c>
      <c r="E11" s="136"/>
      <c r="F11" s="133">
        <f ca="1">SUMIF(Daily!$A$7:$A$175,Weelky!$A11,Daily!$E$8:$F$175)</f>
        <v>463</v>
      </c>
      <c r="G11" s="134"/>
      <c r="H11" s="19">
        <f>SUMIF(Daily!$A$7:$A$175,Weelky!$A11,Daily!K$7:K$175)</f>
        <v>427</v>
      </c>
      <c r="I11" s="25">
        <f>SUMIF(Daily!$A$7:$A$175,Weelky!$A11,Daily!L$7:L$175)</f>
        <v>0</v>
      </c>
      <c r="J11" s="26">
        <f>SUMIF(Daily!$A$7:$A$175,Weelky!$A11,Daily!M$7:M$175)</f>
        <v>36</v>
      </c>
      <c r="K11" s="24">
        <f>SUMIF(Daily!$A$7:$A$175,Weelky!$A11,Daily!N$7:N$175)</f>
        <v>181</v>
      </c>
      <c r="L11" s="25">
        <f>SUMIF(Daily!$A$7:$A$175,Weelky!$A11,Daily!O$7:O$175)</f>
        <v>260</v>
      </c>
      <c r="M11" s="26">
        <f>SUMIF(Daily!$A$7:$A$175,Weelky!$A11,Daily!P$7:P$175)</f>
        <v>22</v>
      </c>
      <c r="N11" s="24">
        <f>SUMIF(Daily!$A$7:$A$175,Weelky!$A11,Daily!Q$7:Q$175)</f>
        <v>8</v>
      </c>
      <c r="O11" s="25">
        <f>SUMIF(Daily!$A$7:$A$175,Weelky!$A11,Daily!R$7:R$175)</f>
        <v>282</v>
      </c>
      <c r="P11" s="26">
        <f>SUMIF(Daily!$A$7:$A$175,Weelky!$A11,Daily!S$7:S$175)</f>
        <v>173</v>
      </c>
      <c r="Q11" s="27">
        <f>SUMIF(Daily!$A$7:$A$175,Weelky!$A11,Daily!T$7:T$175)</f>
        <v>463</v>
      </c>
    </row>
    <row r="12" spans="1:19" x14ac:dyDescent="0.35">
      <c r="A12" s="37" t="str">
        <f t="shared" si="0"/>
        <v>28;2017</v>
      </c>
      <c r="B12" s="37" t="str">
        <f t="shared" si="1"/>
        <v>Jul</v>
      </c>
      <c r="C12" s="37" t="str">
        <f t="shared" si="2"/>
        <v>7;2017</v>
      </c>
      <c r="D12" s="135">
        <f t="shared" si="3"/>
        <v>42931</v>
      </c>
      <c r="E12" s="136"/>
      <c r="F12" s="133">
        <f ca="1">SUMIF(Daily!$A$7:$A$175,Weelky!$A12,Daily!$E$8:$F$175)</f>
        <v>796</v>
      </c>
      <c r="G12" s="134"/>
      <c r="H12" s="19">
        <f>SUMIF(Daily!$A$7:$A$175,Weelky!$A12,Daily!K$7:K$175)</f>
        <v>709</v>
      </c>
      <c r="I12" s="25">
        <f>SUMIF(Daily!$A$7:$A$175,Weelky!$A12,Daily!L$7:L$175)</f>
        <v>0</v>
      </c>
      <c r="J12" s="26">
        <f>SUMIF(Daily!$A$7:$A$175,Weelky!$A12,Daily!M$7:M$175)</f>
        <v>87</v>
      </c>
      <c r="K12" s="24">
        <f>SUMIF(Daily!$A$7:$A$175,Weelky!$A12,Daily!N$7:N$175)</f>
        <v>310</v>
      </c>
      <c r="L12" s="25">
        <f>SUMIF(Daily!$A$7:$A$175,Weelky!$A12,Daily!O$7:O$175)</f>
        <v>447</v>
      </c>
      <c r="M12" s="26">
        <f>SUMIF(Daily!$A$7:$A$175,Weelky!$A12,Daily!P$7:P$175)</f>
        <v>39</v>
      </c>
      <c r="N12" s="24">
        <f>SUMIF(Daily!$A$7:$A$175,Weelky!$A12,Daily!Q$7:Q$175)</f>
        <v>19</v>
      </c>
      <c r="O12" s="25">
        <f>SUMIF(Daily!$A$7:$A$175,Weelky!$A12,Daily!R$7:R$175)</f>
        <v>465</v>
      </c>
      <c r="P12" s="26">
        <f>SUMIF(Daily!$A$7:$A$175,Weelky!$A12,Daily!S$7:S$175)</f>
        <v>312</v>
      </c>
      <c r="Q12" s="27">
        <f>SUMIF(Daily!$A$7:$A$175,Weelky!$A12,Daily!T$7:T$175)</f>
        <v>796</v>
      </c>
    </row>
    <row r="13" spans="1:19" x14ac:dyDescent="0.35">
      <c r="A13" s="37" t="str">
        <f t="shared" si="0"/>
        <v>29;2017</v>
      </c>
      <c r="B13" s="37" t="str">
        <f t="shared" si="1"/>
        <v>Jul</v>
      </c>
      <c r="C13" s="37" t="str">
        <f t="shared" si="2"/>
        <v>7;2017</v>
      </c>
      <c r="D13" s="135">
        <f t="shared" si="3"/>
        <v>42938</v>
      </c>
      <c r="E13" s="136"/>
      <c r="F13" s="133">
        <f ca="1">SUMIF(Daily!$A$7:$A$175,Weelky!$A13,Daily!$E$8:$F$175)</f>
        <v>463</v>
      </c>
      <c r="G13" s="134"/>
      <c r="H13" s="19">
        <f>SUMIF(Daily!$A$7:$A$175,Weelky!$A13,Daily!K$7:K$175)</f>
        <v>427</v>
      </c>
      <c r="I13" s="25">
        <f>SUMIF(Daily!$A$7:$A$175,Weelky!$A13,Daily!L$7:L$175)</f>
        <v>0</v>
      </c>
      <c r="J13" s="26">
        <f>SUMIF(Daily!$A$7:$A$175,Weelky!$A13,Daily!M$7:M$175)</f>
        <v>36</v>
      </c>
      <c r="K13" s="24">
        <f>SUMIF(Daily!$A$7:$A$175,Weelky!$A13,Daily!N$7:N$175)</f>
        <v>181</v>
      </c>
      <c r="L13" s="25">
        <f>SUMIF(Daily!$A$7:$A$175,Weelky!$A13,Daily!O$7:O$175)</f>
        <v>260</v>
      </c>
      <c r="M13" s="26">
        <f>SUMIF(Daily!$A$7:$A$175,Weelky!$A13,Daily!P$7:P$175)</f>
        <v>22</v>
      </c>
      <c r="N13" s="24">
        <f>SUMIF(Daily!$A$7:$A$175,Weelky!$A13,Daily!Q$7:Q$175)</f>
        <v>8</v>
      </c>
      <c r="O13" s="25">
        <f>SUMIF(Daily!$A$7:$A$175,Weelky!$A13,Daily!R$7:R$175)</f>
        <v>282</v>
      </c>
      <c r="P13" s="26">
        <f>SUMIF(Daily!$A$7:$A$175,Weelky!$A13,Daily!S$7:S$175)</f>
        <v>173</v>
      </c>
      <c r="Q13" s="27">
        <f>SUMIF(Daily!$A$7:$A$175,Weelky!$A13,Daily!T$7:T$175)</f>
        <v>463</v>
      </c>
    </row>
    <row r="14" spans="1:19" x14ac:dyDescent="0.35">
      <c r="A14" s="37" t="str">
        <f t="shared" si="0"/>
        <v>30;2017</v>
      </c>
      <c r="B14" s="37" t="str">
        <f t="shared" si="1"/>
        <v>Jul</v>
      </c>
      <c r="C14" s="37" t="str">
        <f t="shared" si="2"/>
        <v>7;2017</v>
      </c>
      <c r="D14" s="135">
        <f t="shared" si="3"/>
        <v>42945</v>
      </c>
      <c r="E14" s="136"/>
      <c r="F14" s="133">
        <f ca="1">SUMIF(Daily!$A$7:$A$175,Weelky!$A14,Daily!$E$8:$F$175)</f>
        <v>796</v>
      </c>
      <c r="G14" s="134"/>
      <c r="H14" s="19">
        <f>SUMIF(Daily!$A$7:$A$175,Weelky!$A14,Daily!K$7:K$175)</f>
        <v>709</v>
      </c>
      <c r="I14" s="25">
        <f>SUMIF(Daily!$A$7:$A$175,Weelky!$A14,Daily!L$7:L$175)</f>
        <v>0</v>
      </c>
      <c r="J14" s="26">
        <f>SUMIF(Daily!$A$7:$A$175,Weelky!$A14,Daily!M$7:M$175)</f>
        <v>87</v>
      </c>
      <c r="K14" s="24">
        <f>SUMIF(Daily!$A$7:$A$175,Weelky!$A14,Daily!N$7:N$175)</f>
        <v>310</v>
      </c>
      <c r="L14" s="25">
        <f>SUMIF(Daily!$A$7:$A$175,Weelky!$A14,Daily!O$7:O$175)</f>
        <v>447</v>
      </c>
      <c r="M14" s="26">
        <f>SUMIF(Daily!$A$7:$A$175,Weelky!$A14,Daily!P$7:P$175)</f>
        <v>39</v>
      </c>
      <c r="N14" s="24">
        <f>SUMIF(Daily!$A$7:$A$175,Weelky!$A14,Daily!Q$7:Q$175)</f>
        <v>19</v>
      </c>
      <c r="O14" s="25">
        <f>SUMIF(Daily!$A$7:$A$175,Weelky!$A14,Daily!R$7:R$175)</f>
        <v>465</v>
      </c>
      <c r="P14" s="26">
        <f>SUMIF(Daily!$A$7:$A$175,Weelky!$A14,Daily!S$7:S$175)</f>
        <v>312</v>
      </c>
      <c r="Q14" s="27">
        <f>SUMIF(Daily!$A$7:$A$175,Weelky!$A14,Daily!T$7:T$175)</f>
        <v>796</v>
      </c>
    </row>
    <row r="15" spans="1:19" x14ac:dyDescent="0.35">
      <c r="A15" s="37" t="str">
        <f t="shared" si="0"/>
        <v>31;2017</v>
      </c>
      <c r="B15" s="37" t="str">
        <f t="shared" si="1"/>
        <v>Aug</v>
      </c>
      <c r="C15" s="37" t="str">
        <f t="shared" si="2"/>
        <v>8;2017</v>
      </c>
      <c r="D15" s="135">
        <f t="shared" si="3"/>
        <v>42952</v>
      </c>
      <c r="E15" s="136"/>
      <c r="F15" s="133">
        <f ca="1">SUMIF(Daily!$A$7:$A$175,Weelky!$A15,Daily!$E$8:$F$175)</f>
        <v>463</v>
      </c>
      <c r="G15" s="134"/>
      <c r="H15" s="19">
        <f>SUMIF(Daily!$A$7:$A$175,Weelky!$A15,Daily!K$7:K$175)</f>
        <v>427</v>
      </c>
      <c r="I15" s="25">
        <f>SUMIF(Daily!$A$7:$A$175,Weelky!$A15,Daily!L$7:L$175)</f>
        <v>0</v>
      </c>
      <c r="J15" s="26">
        <f>SUMIF(Daily!$A$7:$A$175,Weelky!$A15,Daily!M$7:M$175)</f>
        <v>36</v>
      </c>
      <c r="K15" s="24">
        <f>SUMIF(Daily!$A$7:$A$175,Weelky!$A15,Daily!N$7:N$175)</f>
        <v>181</v>
      </c>
      <c r="L15" s="25">
        <f>SUMIF(Daily!$A$7:$A$175,Weelky!$A15,Daily!O$7:O$175)</f>
        <v>260</v>
      </c>
      <c r="M15" s="26">
        <f>SUMIF(Daily!$A$7:$A$175,Weelky!$A15,Daily!P$7:P$175)</f>
        <v>22</v>
      </c>
      <c r="N15" s="24">
        <f>SUMIF(Daily!$A$7:$A$175,Weelky!$A15,Daily!Q$7:Q$175)</f>
        <v>8</v>
      </c>
      <c r="O15" s="25">
        <f>SUMIF(Daily!$A$7:$A$175,Weelky!$A15,Daily!R$7:R$175)</f>
        <v>282</v>
      </c>
      <c r="P15" s="26">
        <f>SUMIF(Daily!$A$7:$A$175,Weelky!$A15,Daily!S$7:S$175)</f>
        <v>173</v>
      </c>
      <c r="Q15" s="27">
        <f>SUMIF(Daily!$A$7:$A$175,Weelky!$A15,Daily!T$7:T$175)</f>
        <v>463</v>
      </c>
    </row>
    <row r="16" spans="1:19" x14ac:dyDescent="0.35">
      <c r="A16" s="37" t="str">
        <f t="shared" si="0"/>
        <v>32;2017</v>
      </c>
      <c r="B16" s="37" t="str">
        <f t="shared" si="1"/>
        <v>Aug</v>
      </c>
      <c r="C16" s="37" t="str">
        <f t="shared" si="2"/>
        <v>8;2017</v>
      </c>
      <c r="D16" s="135">
        <f t="shared" si="3"/>
        <v>42959</v>
      </c>
      <c r="E16" s="136"/>
      <c r="F16" s="133">
        <f ca="1">SUMIF(Daily!$A$7:$A$175,Weelky!$A16,Daily!$E$8:$F$175)</f>
        <v>796</v>
      </c>
      <c r="G16" s="134"/>
      <c r="H16" s="19">
        <f>SUMIF(Daily!$A$7:$A$175,Weelky!$A16,Daily!K$7:K$175)</f>
        <v>709</v>
      </c>
      <c r="I16" s="25">
        <f>SUMIF(Daily!$A$7:$A$175,Weelky!$A16,Daily!L$7:L$175)</f>
        <v>0</v>
      </c>
      <c r="J16" s="26">
        <f>SUMIF(Daily!$A$7:$A$175,Weelky!$A16,Daily!M$7:M$175)</f>
        <v>87</v>
      </c>
      <c r="K16" s="24">
        <f>SUMIF(Daily!$A$7:$A$175,Weelky!$A16,Daily!N$7:N$175)</f>
        <v>310</v>
      </c>
      <c r="L16" s="25">
        <f>SUMIF(Daily!$A$7:$A$175,Weelky!$A16,Daily!O$7:O$175)</f>
        <v>447</v>
      </c>
      <c r="M16" s="26">
        <f>SUMIF(Daily!$A$7:$A$175,Weelky!$A16,Daily!P$7:P$175)</f>
        <v>39</v>
      </c>
      <c r="N16" s="24">
        <f>SUMIF(Daily!$A$7:$A$175,Weelky!$A16,Daily!Q$7:Q$175)</f>
        <v>19</v>
      </c>
      <c r="O16" s="25">
        <f>SUMIF(Daily!$A$7:$A$175,Weelky!$A16,Daily!R$7:R$175)</f>
        <v>465</v>
      </c>
      <c r="P16" s="26">
        <f>SUMIF(Daily!$A$7:$A$175,Weelky!$A16,Daily!S$7:S$175)</f>
        <v>312</v>
      </c>
      <c r="Q16" s="27">
        <f>SUMIF(Daily!$A$7:$A$175,Weelky!$A16,Daily!T$7:T$175)</f>
        <v>796</v>
      </c>
    </row>
    <row r="17" spans="1:17" x14ac:dyDescent="0.35">
      <c r="A17" s="37" t="str">
        <f t="shared" si="0"/>
        <v>33;2017</v>
      </c>
      <c r="B17" s="37" t="str">
        <f t="shared" si="1"/>
        <v>Aug</v>
      </c>
      <c r="C17" s="37" t="str">
        <f t="shared" si="2"/>
        <v>8;2017</v>
      </c>
      <c r="D17" s="135">
        <f t="shared" si="3"/>
        <v>42966</v>
      </c>
      <c r="E17" s="136"/>
      <c r="F17" s="133">
        <f ca="1">SUMIF(Daily!$A$7:$A$175,Weelky!$A17,Daily!$E$8:$F$175)</f>
        <v>463</v>
      </c>
      <c r="G17" s="134"/>
      <c r="H17" s="19">
        <f>SUMIF(Daily!$A$7:$A$175,Weelky!$A17,Daily!K$7:K$175)</f>
        <v>427</v>
      </c>
      <c r="I17" s="25">
        <f>SUMIF(Daily!$A$7:$A$175,Weelky!$A17,Daily!L$7:L$175)</f>
        <v>0</v>
      </c>
      <c r="J17" s="26">
        <f>SUMIF(Daily!$A$7:$A$175,Weelky!$A17,Daily!M$7:M$175)</f>
        <v>36</v>
      </c>
      <c r="K17" s="24">
        <f>SUMIF(Daily!$A$7:$A$175,Weelky!$A17,Daily!N$7:N$175)</f>
        <v>181</v>
      </c>
      <c r="L17" s="25">
        <f>SUMIF(Daily!$A$7:$A$175,Weelky!$A17,Daily!O$7:O$175)</f>
        <v>260</v>
      </c>
      <c r="M17" s="26">
        <f>SUMIF(Daily!$A$7:$A$175,Weelky!$A17,Daily!P$7:P$175)</f>
        <v>22</v>
      </c>
      <c r="N17" s="24">
        <f>SUMIF(Daily!$A$7:$A$175,Weelky!$A17,Daily!Q$7:Q$175)</f>
        <v>8</v>
      </c>
      <c r="O17" s="25">
        <f>SUMIF(Daily!$A$7:$A$175,Weelky!$A17,Daily!R$7:R$175)</f>
        <v>282</v>
      </c>
      <c r="P17" s="26">
        <f>SUMIF(Daily!$A$7:$A$175,Weelky!$A17,Daily!S$7:S$175)</f>
        <v>173</v>
      </c>
      <c r="Q17" s="27">
        <f>SUMIF(Daily!$A$7:$A$175,Weelky!$A17,Daily!T$7:T$175)</f>
        <v>463</v>
      </c>
    </row>
    <row r="18" spans="1:17" x14ac:dyDescent="0.35">
      <c r="A18" s="37" t="str">
        <f t="shared" si="0"/>
        <v>34;2017</v>
      </c>
      <c r="B18" s="37" t="str">
        <f t="shared" si="1"/>
        <v>Aug</v>
      </c>
      <c r="C18" s="37" t="str">
        <f t="shared" si="2"/>
        <v>8;2017</v>
      </c>
      <c r="D18" s="135">
        <f t="shared" si="3"/>
        <v>42973</v>
      </c>
      <c r="E18" s="136"/>
      <c r="F18" s="133">
        <f ca="1">SUMIF(Daily!$A$7:$A$175,Weelky!$A18,Daily!$E$8:$F$175)</f>
        <v>796</v>
      </c>
      <c r="G18" s="134"/>
      <c r="H18" s="19">
        <f>SUMIF(Daily!$A$7:$A$175,Weelky!$A18,Daily!K$7:K$175)</f>
        <v>709</v>
      </c>
      <c r="I18" s="25">
        <f>SUMIF(Daily!$A$7:$A$175,Weelky!$A18,Daily!L$7:L$175)</f>
        <v>0</v>
      </c>
      <c r="J18" s="26">
        <f>SUMIF(Daily!$A$7:$A$175,Weelky!$A18,Daily!M$7:M$175)</f>
        <v>87</v>
      </c>
      <c r="K18" s="24">
        <f>SUMIF(Daily!$A$7:$A$175,Weelky!$A18,Daily!N$7:N$175)</f>
        <v>310</v>
      </c>
      <c r="L18" s="25">
        <f>SUMIF(Daily!$A$7:$A$175,Weelky!$A18,Daily!O$7:O$175)</f>
        <v>447</v>
      </c>
      <c r="M18" s="26">
        <f>SUMIF(Daily!$A$7:$A$175,Weelky!$A18,Daily!P$7:P$175)</f>
        <v>39</v>
      </c>
      <c r="N18" s="24">
        <f>SUMIF(Daily!$A$7:$A$175,Weelky!$A18,Daily!Q$7:Q$175)</f>
        <v>19</v>
      </c>
      <c r="O18" s="25">
        <f>SUMIF(Daily!$A$7:$A$175,Weelky!$A18,Daily!R$7:R$175)</f>
        <v>465</v>
      </c>
      <c r="P18" s="26">
        <f>SUMIF(Daily!$A$7:$A$175,Weelky!$A18,Daily!S$7:S$175)</f>
        <v>312</v>
      </c>
      <c r="Q18" s="27">
        <f>SUMIF(Daily!$A$7:$A$175,Weelky!$A18,Daily!T$7:T$175)</f>
        <v>796</v>
      </c>
    </row>
    <row r="19" spans="1:17" x14ac:dyDescent="0.35">
      <c r="A19" s="37" t="str">
        <f t="shared" si="0"/>
        <v>35;2017</v>
      </c>
      <c r="B19" s="37" t="str">
        <f t="shared" si="1"/>
        <v>Sep</v>
      </c>
      <c r="C19" s="37" t="str">
        <f t="shared" si="2"/>
        <v>9;2017</v>
      </c>
      <c r="D19" s="135">
        <f t="shared" si="3"/>
        <v>42980</v>
      </c>
      <c r="E19" s="136"/>
      <c r="F19" s="133">
        <f ca="1">SUMIF(Daily!$A$7:$A$175,Weelky!$A19,Daily!$E$8:$F$175)</f>
        <v>463</v>
      </c>
      <c r="G19" s="134"/>
      <c r="H19" s="19">
        <f>SUMIF(Daily!$A$7:$A$175,Weelky!$A19,Daily!K$7:K$175)</f>
        <v>427</v>
      </c>
      <c r="I19" s="25">
        <f>SUMIF(Daily!$A$7:$A$175,Weelky!$A19,Daily!L$7:L$175)</f>
        <v>0</v>
      </c>
      <c r="J19" s="26">
        <f>SUMIF(Daily!$A$7:$A$175,Weelky!$A19,Daily!M$7:M$175)</f>
        <v>36</v>
      </c>
      <c r="K19" s="24">
        <f>SUMIF(Daily!$A$7:$A$175,Weelky!$A19,Daily!N$7:N$175)</f>
        <v>181</v>
      </c>
      <c r="L19" s="25">
        <f>SUMIF(Daily!$A$7:$A$175,Weelky!$A19,Daily!O$7:O$175)</f>
        <v>260</v>
      </c>
      <c r="M19" s="26">
        <f>SUMIF(Daily!$A$7:$A$175,Weelky!$A19,Daily!P$7:P$175)</f>
        <v>22</v>
      </c>
      <c r="N19" s="24">
        <f>SUMIF(Daily!$A$7:$A$175,Weelky!$A19,Daily!Q$7:Q$175)</f>
        <v>8</v>
      </c>
      <c r="O19" s="25">
        <f>SUMIF(Daily!$A$7:$A$175,Weelky!$A19,Daily!R$7:R$175)</f>
        <v>282</v>
      </c>
      <c r="P19" s="26">
        <f>SUMIF(Daily!$A$7:$A$175,Weelky!$A19,Daily!S$7:S$175)</f>
        <v>173</v>
      </c>
      <c r="Q19" s="27">
        <f>SUMIF(Daily!$A$7:$A$175,Weelky!$A19,Daily!T$7:T$175)</f>
        <v>463</v>
      </c>
    </row>
    <row r="20" spans="1:17" x14ac:dyDescent="0.35">
      <c r="A20" s="37" t="str">
        <f t="shared" si="0"/>
        <v>36;2017</v>
      </c>
      <c r="B20" s="37" t="str">
        <f t="shared" si="1"/>
        <v>Sep</v>
      </c>
      <c r="C20" s="37" t="str">
        <f t="shared" si="2"/>
        <v>9;2017</v>
      </c>
      <c r="D20" s="135">
        <f t="shared" si="3"/>
        <v>42987</v>
      </c>
      <c r="E20" s="136"/>
      <c r="F20" s="133">
        <f ca="1">SUMIF(Daily!$A$7:$A$175,Weelky!$A20,Daily!$E$8:$F$175)</f>
        <v>796</v>
      </c>
      <c r="G20" s="134"/>
      <c r="H20" s="19">
        <f>SUMIF(Daily!$A$7:$A$175,Weelky!$A20,Daily!K$7:K$175)</f>
        <v>709</v>
      </c>
      <c r="I20" s="25">
        <f>SUMIF(Daily!$A$7:$A$175,Weelky!$A20,Daily!L$7:L$175)</f>
        <v>0</v>
      </c>
      <c r="J20" s="26">
        <f>SUMIF(Daily!$A$7:$A$175,Weelky!$A20,Daily!M$7:M$175)</f>
        <v>87</v>
      </c>
      <c r="K20" s="24">
        <f>SUMIF(Daily!$A$7:$A$175,Weelky!$A20,Daily!N$7:N$175)</f>
        <v>310</v>
      </c>
      <c r="L20" s="25">
        <f>SUMIF(Daily!$A$7:$A$175,Weelky!$A20,Daily!O$7:O$175)</f>
        <v>447</v>
      </c>
      <c r="M20" s="26">
        <f>SUMIF(Daily!$A$7:$A$175,Weelky!$A20,Daily!P$7:P$175)</f>
        <v>39</v>
      </c>
      <c r="N20" s="24">
        <f>SUMIF(Daily!$A$7:$A$175,Weelky!$A20,Daily!Q$7:Q$175)</f>
        <v>19</v>
      </c>
      <c r="O20" s="25">
        <f>SUMIF(Daily!$A$7:$A$175,Weelky!$A20,Daily!R$7:R$175)</f>
        <v>465</v>
      </c>
      <c r="P20" s="26">
        <f>SUMIF(Daily!$A$7:$A$175,Weelky!$A20,Daily!S$7:S$175)</f>
        <v>312</v>
      </c>
      <c r="Q20" s="27">
        <f>SUMIF(Daily!$A$7:$A$175,Weelky!$A20,Daily!T$7:T$175)</f>
        <v>796</v>
      </c>
    </row>
    <row r="21" spans="1:17" x14ac:dyDescent="0.35">
      <c r="A21" s="37" t="str">
        <f t="shared" si="0"/>
        <v>37;2017</v>
      </c>
      <c r="B21" s="37" t="str">
        <f t="shared" si="1"/>
        <v>Sep</v>
      </c>
      <c r="C21" s="37" t="str">
        <f t="shared" si="2"/>
        <v>9;2017</v>
      </c>
      <c r="D21" s="135">
        <f t="shared" si="3"/>
        <v>42994</v>
      </c>
      <c r="E21" s="136"/>
      <c r="F21" s="133">
        <f ca="1">SUMIF(Daily!$A$7:$A$175,Weelky!$A21,Daily!$E$8:$F$175)</f>
        <v>463</v>
      </c>
      <c r="G21" s="134"/>
      <c r="H21" s="19">
        <f>SUMIF(Daily!$A$7:$A$175,Weelky!$A21,Daily!K$7:K$175)</f>
        <v>427</v>
      </c>
      <c r="I21" s="25">
        <f>SUMIF(Daily!$A$7:$A$175,Weelky!$A21,Daily!L$7:L$175)</f>
        <v>0</v>
      </c>
      <c r="J21" s="26">
        <f>SUMIF(Daily!$A$7:$A$175,Weelky!$A21,Daily!M$7:M$175)</f>
        <v>36</v>
      </c>
      <c r="K21" s="24">
        <f>SUMIF(Daily!$A$7:$A$175,Weelky!$A21,Daily!N$7:N$175)</f>
        <v>181</v>
      </c>
      <c r="L21" s="25">
        <f>SUMIF(Daily!$A$7:$A$175,Weelky!$A21,Daily!O$7:O$175)</f>
        <v>260</v>
      </c>
      <c r="M21" s="26">
        <f>SUMIF(Daily!$A$7:$A$175,Weelky!$A21,Daily!P$7:P$175)</f>
        <v>22</v>
      </c>
      <c r="N21" s="24">
        <f>SUMIF(Daily!$A$7:$A$175,Weelky!$A21,Daily!Q$7:Q$175)</f>
        <v>8</v>
      </c>
      <c r="O21" s="25">
        <f>SUMIF(Daily!$A$7:$A$175,Weelky!$A21,Daily!R$7:R$175)</f>
        <v>282</v>
      </c>
      <c r="P21" s="26">
        <f>SUMIF(Daily!$A$7:$A$175,Weelky!$A21,Daily!S$7:S$175)</f>
        <v>173</v>
      </c>
      <c r="Q21" s="27">
        <f>SUMIF(Daily!$A$7:$A$175,Weelky!$A21,Daily!T$7:T$175)</f>
        <v>463</v>
      </c>
    </row>
    <row r="22" spans="1:17" x14ac:dyDescent="0.35">
      <c r="A22" s="37" t="str">
        <f t="shared" si="0"/>
        <v>38;2017</v>
      </c>
      <c r="B22" s="37" t="str">
        <f t="shared" si="1"/>
        <v>Sep</v>
      </c>
      <c r="C22" s="37" t="str">
        <f t="shared" si="2"/>
        <v>9;2017</v>
      </c>
      <c r="D22" s="135">
        <f t="shared" si="3"/>
        <v>43001</v>
      </c>
      <c r="E22" s="136"/>
      <c r="F22" s="133">
        <f ca="1">SUMIF(Daily!$A$7:$A$175,Weelky!$A22,Daily!$E$8:$F$175)</f>
        <v>796</v>
      </c>
      <c r="G22" s="134"/>
      <c r="H22" s="19">
        <f>SUMIF(Daily!$A$7:$A$175,Weelky!$A22,Daily!K$7:K$175)</f>
        <v>709</v>
      </c>
      <c r="I22" s="25">
        <f>SUMIF(Daily!$A$7:$A$175,Weelky!$A22,Daily!L$7:L$175)</f>
        <v>0</v>
      </c>
      <c r="J22" s="26">
        <f>SUMIF(Daily!$A$7:$A$175,Weelky!$A22,Daily!M$7:M$175)</f>
        <v>87</v>
      </c>
      <c r="K22" s="24">
        <f>SUMIF(Daily!$A$7:$A$175,Weelky!$A22,Daily!N$7:N$175)</f>
        <v>310</v>
      </c>
      <c r="L22" s="25">
        <f>SUMIF(Daily!$A$7:$A$175,Weelky!$A22,Daily!O$7:O$175)</f>
        <v>447</v>
      </c>
      <c r="M22" s="26">
        <f>SUMIF(Daily!$A$7:$A$175,Weelky!$A22,Daily!P$7:P$175)</f>
        <v>39</v>
      </c>
      <c r="N22" s="24">
        <f>SUMIF(Daily!$A$7:$A$175,Weelky!$A22,Daily!Q$7:Q$175)</f>
        <v>19</v>
      </c>
      <c r="O22" s="25">
        <f>SUMIF(Daily!$A$7:$A$175,Weelky!$A22,Daily!R$7:R$175)</f>
        <v>465</v>
      </c>
      <c r="P22" s="26">
        <f>SUMIF(Daily!$A$7:$A$175,Weelky!$A22,Daily!S$7:S$175)</f>
        <v>312</v>
      </c>
      <c r="Q22" s="27">
        <f>SUMIF(Daily!$A$7:$A$175,Weelky!$A22,Daily!T$7:T$175)</f>
        <v>796</v>
      </c>
    </row>
    <row r="23" spans="1:17" x14ac:dyDescent="0.35">
      <c r="A23" s="37" t="str">
        <f t="shared" si="0"/>
        <v>39;2017</v>
      </c>
      <c r="B23" s="37" t="str">
        <f t="shared" si="1"/>
        <v>Sep</v>
      </c>
      <c r="C23" s="37" t="str">
        <f t="shared" si="2"/>
        <v>9;2017</v>
      </c>
      <c r="D23" s="135">
        <f t="shared" si="3"/>
        <v>43008</v>
      </c>
      <c r="E23" s="136"/>
      <c r="F23" s="133">
        <f ca="1">SUMIF(Daily!$A$7:$A$175,Weelky!$A23,Daily!$E$8:$F$175)</f>
        <v>463</v>
      </c>
      <c r="G23" s="134"/>
      <c r="H23" s="19">
        <f>SUMIF(Daily!$A$7:$A$175,Weelky!$A23,Daily!K$7:K$175)</f>
        <v>427</v>
      </c>
      <c r="I23" s="25">
        <f>SUMIF(Daily!$A$7:$A$175,Weelky!$A23,Daily!L$7:L$175)</f>
        <v>0</v>
      </c>
      <c r="J23" s="26">
        <f>SUMIF(Daily!$A$7:$A$175,Weelky!$A23,Daily!M$7:M$175)</f>
        <v>36</v>
      </c>
      <c r="K23" s="24">
        <f>SUMIF(Daily!$A$7:$A$175,Weelky!$A23,Daily!N$7:N$175)</f>
        <v>181</v>
      </c>
      <c r="L23" s="25">
        <f>SUMIF(Daily!$A$7:$A$175,Weelky!$A23,Daily!O$7:O$175)</f>
        <v>260</v>
      </c>
      <c r="M23" s="26">
        <f>SUMIF(Daily!$A$7:$A$175,Weelky!$A23,Daily!P$7:P$175)</f>
        <v>22</v>
      </c>
      <c r="N23" s="24">
        <f>SUMIF(Daily!$A$7:$A$175,Weelky!$A23,Daily!Q$7:Q$175)</f>
        <v>8</v>
      </c>
      <c r="O23" s="25">
        <f>SUMIF(Daily!$A$7:$A$175,Weelky!$A23,Daily!R$7:R$175)</f>
        <v>282</v>
      </c>
      <c r="P23" s="26">
        <f>SUMIF(Daily!$A$7:$A$175,Weelky!$A23,Daily!S$7:S$175)</f>
        <v>173</v>
      </c>
      <c r="Q23" s="27">
        <f>SUMIF(Daily!$A$7:$A$175,Weelky!$A23,Daily!T$7:T$175)</f>
        <v>463</v>
      </c>
    </row>
    <row r="24" spans="1:17" x14ac:dyDescent="0.35">
      <c r="A24" s="37" t="str">
        <f t="shared" si="0"/>
        <v>40;2017</v>
      </c>
      <c r="B24" s="37" t="str">
        <f t="shared" si="1"/>
        <v>Oct</v>
      </c>
      <c r="C24" s="37" t="str">
        <f t="shared" si="2"/>
        <v>10;2017</v>
      </c>
      <c r="D24" s="135">
        <f t="shared" si="3"/>
        <v>43015</v>
      </c>
      <c r="E24" s="136"/>
      <c r="F24" s="133">
        <f ca="1">SUMIF(Daily!$A$7:$A$175,Weelky!$A24,Daily!$E$8:$F$175)</f>
        <v>796</v>
      </c>
      <c r="G24" s="134"/>
      <c r="H24" s="19">
        <f>SUMIF(Daily!$A$7:$A$175,Weelky!$A24,Daily!K$7:K$175)</f>
        <v>709</v>
      </c>
      <c r="I24" s="25">
        <f>SUMIF(Daily!$A$7:$A$175,Weelky!$A24,Daily!L$7:L$175)</f>
        <v>0</v>
      </c>
      <c r="J24" s="26">
        <f>SUMIF(Daily!$A$7:$A$175,Weelky!$A24,Daily!M$7:M$175)</f>
        <v>87</v>
      </c>
      <c r="K24" s="24">
        <f>SUMIF(Daily!$A$7:$A$175,Weelky!$A24,Daily!N$7:N$175)</f>
        <v>310</v>
      </c>
      <c r="L24" s="25">
        <f>SUMIF(Daily!$A$7:$A$175,Weelky!$A24,Daily!O$7:O$175)</f>
        <v>447</v>
      </c>
      <c r="M24" s="26">
        <f>SUMIF(Daily!$A$7:$A$175,Weelky!$A24,Daily!P$7:P$175)</f>
        <v>39</v>
      </c>
      <c r="N24" s="24">
        <f>SUMIF(Daily!$A$7:$A$175,Weelky!$A24,Daily!Q$7:Q$175)</f>
        <v>19</v>
      </c>
      <c r="O24" s="25">
        <f>SUMIF(Daily!$A$7:$A$175,Weelky!$A24,Daily!R$7:R$175)</f>
        <v>465</v>
      </c>
      <c r="P24" s="26">
        <f>SUMIF(Daily!$A$7:$A$175,Weelky!$A24,Daily!S$7:S$175)</f>
        <v>312</v>
      </c>
      <c r="Q24" s="27">
        <f>SUMIF(Daily!$A$7:$A$175,Weelky!$A24,Daily!T$7:T$175)</f>
        <v>796</v>
      </c>
    </row>
    <row r="25" spans="1:17" x14ac:dyDescent="0.35">
      <c r="A25" s="37" t="str">
        <f t="shared" si="0"/>
        <v>41;2017</v>
      </c>
      <c r="B25" s="37" t="str">
        <f t="shared" si="1"/>
        <v>Oct</v>
      </c>
      <c r="C25" s="37" t="str">
        <f t="shared" si="2"/>
        <v>10;2017</v>
      </c>
      <c r="D25" s="135">
        <f t="shared" si="3"/>
        <v>43022</v>
      </c>
      <c r="E25" s="136"/>
      <c r="F25" s="133">
        <f ca="1">SUMIF(Daily!$A$7:$A$175,Weelky!$A25,Daily!$E$8:$F$175)</f>
        <v>463</v>
      </c>
      <c r="G25" s="134"/>
      <c r="H25" s="19">
        <f>SUMIF(Daily!$A$7:$A$175,Weelky!$A25,Daily!K$7:K$175)</f>
        <v>427</v>
      </c>
      <c r="I25" s="25">
        <f>SUMIF(Daily!$A$7:$A$175,Weelky!$A25,Daily!L$7:L$175)</f>
        <v>0</v>
      </c>
      <c r="J25" s="26">
        <f>SUMIF(Daily!$A$7:$A$175,Weelky!$A25,Daily!M$7:M$175)</f>
        <v>36</v>
      </c>
      <c r="K25" s="24">
        <f>SUMIF(Daily!$A$7:$A$175,Weelky!$A25,Daily!N$7:N$175)</f>
        <v>181</v>
      </c>
      <c r="L25" s="25">
        <f>SUMIF(Daily!$A$7:$A$175,Weelky!$A25,Daily!O$7:O$175)</f>
        <v>260</v>
      </c>
      <c r="M25" s="26">
        <f>SUMIF(Daily!$A$7:$A$175,Weelky!$A25,Daily!P$7:P$175)</f>
        <v>22</v>
      </c>
      <c r="N25" s="24">
        <f>SUMIF(Daily!$A$7:$A$175,Weelky!$A25,Daily!Q$7:Q$175)</f>
        <v>8</v>
      </c>
      <c r="O25" s="25">
        <f>SUMIF(Daily!$A$7:$A$175,Weelky!$A25,Daily!R$7:R$175)</f>
        <v>282</v>
      </c>
      <c r="P25" s="26">
        <f>SUMIF(Daily!$A$7:$A$175,Weelky!$A25,Daily!S$7:S$175)</f>
        <v>173</v>
      </c>
      <c r="Q25" s="27">
        <f>SUMIF(Daily!$A$7:$A$175,Weelky!$A25,Daily!T$7:T$175)</f>
        <v>463</v>
      </c>
    </row>
    <row r="26" spans="1:17" x14ac:dyDescent="0.35">
      <c r="A26" s="37" t="str">
        <f t="shared" si="0"/>
        <v>42;2017</v>
      </c>
      <c r="B26" s="37" t="str">
        <f t="shared" si="1"/>
        <v>Oct</v>
      </c>
      <c r="C26" s="37" t="str">
        <f t="shared" si="2"/>
        <v>10;2017</v>
      </c>
      <c r="D26" s="135">
        <f t="shared" si="3"/>
        <v>43029</v>
      </c>
      <c r="E26" s="136"/>
      <c r="F26" s="133">
        <f ca="1">SUMIF(Daily!$A$7:$A$175,Weelky!$A26,Daily!$E$8:$F$175)</f>
        <v>796</v>
      </c>
      <c r="G26" s="134"/>
      <c r="H26" s="19">
        <f>SUMIF(Daily!$A$7:$A$175,Weelky!$A26,Daily!K$7:K$175)</f>
        <v>709</v>
      </c>
      <c r="I26" s="25">
        <f>SUMIF(Daily!$A$7:$A$175,Weelky!$A26,Daily!L$7:L$175)</f>
        <v>0</v>
      </c>
      <c r="J26" s="26">
        <f>SUMIF(Daily!$A$7:$A$175,Weelky!$A26,Daily!M$7:M$175)</f>
        <v>87</v>
      </c>
      <c r="K26" s="24">
        <f>SUMIF(Daily!$A$7:$A$175,Weelky!$A26,Daily!N$7:N$175)</f>
        <v>310</v>
      </c>
      <c r="L26" s="25">
        <f>SUMIF(Daily!$A$7:$A$175,Weelky!$A26,Daily!O$7:O$175)</f>
        <v>447</v>
      </c>
      <c r="M26" s="26">
        <f>SUMIF(Daily!$A$7:$A$175,Weelky!$A26,Daily!P$7:P$175)</f>
        <v>39</v>
      </c>
      <c r="N26" s="24">
        <f>SUMIF(Daily!$A$7:$A$175,Weelky!$A26,Daily!Q$7:Q$175)</f>
        <v>19</v>
      </c>
      <c r="O26" s="25">
        <f>SUMIF(Daily!$A$7:$A$175,Weelky!$A26,Daily!R$7:R$175)</f>
        <v>465</v>
      </c>
      <c r="P26" s="26">
        <f>SUMIF(Daily!$A$7:$A$175,Weelky!$A26,Daily!S$7:S$175)</f>
        <v>312</v>
      </c>
      <c r="Q26" s="27">
        <f>SUMIF(Daily!$A$7:$A$175,Weelky!$A26,Daily!T$7:T$175)</f>
        <v>796</v>
      </c>
    </row>
    <row r="27" spans="1:17" x14ac:dyDescent="0.35">
      <c r="A27" s="37" t="str">
        <f t="shared" si="0"/>
        <v>43;2017</v>
      </c>
      <c r="B27" s="37" t="str">
        <f t="shared" si="1"/>
        <v>Oct</v>
      </c>
      <c r="C27" s="37" t="str">
        <f t="shared" si="2"/>
        <v>10;2017</v>
      </c>
      <c r="D27" s="135">
        <f t="shared" si="3"/>
        <v>43036</v>
      </c>
      <c r="E27" s="136"/>
      <c r="F27" s="133">
        <f ca="1">SUMIF(Daily!$A$7:$A$175,Weelky!$A27,Daily!$E$8:$F$175)</f>
        <v>463</v>
      </c>
      <c r="G27" s="134"/>
      <c r="H27" s="19">
        <f>SUMIF(Daily!$A$7:$A$175,Weelky!$A27,Daily!K$7:K$175)</f>
        <v>427</v>
      </c>
      <c r="I27" s="25">
        <f>SUMIF(Daily!$A$7:$A$175,Weelky!$A27,Daily!L$7:L$175)</f>
        <v>0</v>
      </c>
      <c r="J27" s="26">
        <f>SUMIF(Daily!$A$7:$A$175,Weelky!$A27,Daily!M$7:M$175)</f>
        <v>36</v>
      </c>
      <c r="K27" s="24">
        <f>SUMIF(Daily!$A$7:$A$175,Weelky!$A27,Daily!N$7:N$175)</f>
        <v>181</v>
      </c>
      <c r="L27" s="25">
        <f>SUMIF(Daily!$A$7:$A$175,Weelky!$A27,Daily!O$7:O$175)</f>
        <v>260</v>
      </c>
      <c r="M27" s="26">
        <f>SUMIF(Daily!$A$7:$A$175,Weelky!$A27,Daily!P$7:P$175)</f>
        <v>22</v>
      </c>
      <c r="N27" s="24">
        <f>SUMIF(Daily!$A$7:$A$175,Weelky!$A27,Daily!Q$7:Q$175)</f>
        <v>8</v>
      </c>
      <c r="O27" s="25">
        <f>SUMIF(Daily!$A$7:$A$175,Weelky!$A27,Daily!R$7:R$175)</f>
        <v>282</v>
      </c>
      <c r="P27" s="26">
        <f>SUMIF(Daily!$A$7:$A$175,Weelky!$A27,Daily!S$7:S$175)</f>
        <v>173</v>
      </c>
      <c r="Q27" s="27">
        <f>SUMIF(Daily!$A$7:$A$175,Weelky!$A27,Daily!T$7:T$175)</f>
        <v>463</v>
      </c>
    </row>
    <row r="28" spans="1:17" x14ac:dyDescent="0.35">
      <c r="A28" s="37" t="str">
        <f t="shared" si="0"/>
        <v>44;2017</v>
      </c>
      <c r="B28" s="37" t="str">
        <f t="shared" si="1"/>
        <v>Nov</v>
      </c>
      <c r="C28" s="37" t="str">
        <f t="shared" si="2"/>
        <v>11;2017</v>
      </c>
      <c r="D28" s="135">
        <f t="shared" si="3"/>
        <v>43043</v>
      </c>
      <c r="E28" s="136"/>
      <c r="F28" s="133">
        <f ca="1">SUMIF(Daily!$A$7:$A$175,Weelky!$A28,Daily!$E$8:$F$175)</f>
        <v>796</v>
      </c>
      <c r="G28" s="134"/>
      <c r="H28" s="19">
        <f>SUMIF(Daily!$A$7:$A$175,Weelky!$A28,Daily!K$7:K$175)</f>
        <v>709</v>
      </c>
      <c r="I28" s="25">
        <f>SUMIF(Daily!$A$7:$A$175,Weelky!$A28,Daily!L$7:L$175)</f>
        <v>0</v>
      </c>
      <c r="J28" s="26">
        <f>SUMIF(Daily!$A$7:$A$175,Weelky!$A28,Daily!M$7:M$175)</f>
        <v>87</v>
      </c>
      <c r="K28" s="24">
        <f>SUMIF(Daily!$A$7:$A$175,Weelky!$A28,Daily!N$7:N$175)</f>
        <v>310</v>
      </c>
      <c r="L28" s="25">
        <f>SUMIF(Daily!$A$7:$A$175,Weelky!$A28,Daily!O$7:O$175)</f>
        <v>447</v>
      </c>
      <c r="M28" s="26">
        <f>SUMIF(Daily!$A$7:$A$175,Weelky!$A28,Daily!P$7:P$175)</f>
        <v>39</v>
      </c>
      <c r="N28" s="24">
        <f>SUMIF(Daily!$A$7:$A$175,Weelky!$A28,Daily!Q$7:Q$175)</f>
        <v>19</v>
      </c>
      <c r="O28" s="25">
        <f>SUMIF(Daily!$A$7:$A$175,Weelky!$A28,Daily!R$7:R$175)</f>
        <v>465</v>
      </c>
      <c r="P28" s="26">
        <f>SUMIF(Daily!$A$7:$A$175,Weelky!$A28,Daily!S$7:S$175)</f>
        <v>312</v>
      </c>
      <c r="Q28" s="27">
        <f>SUMIF(Daily!$A$7:$A$175,Weelky!$A28,Daily!T$7:T$175)</f>
        <v>796</v>
      </c>
    </row>
    <row r="29" spans="1:17" x14ac:dyDescent="0.35">
      <c r="A29" s="37" t="str">
        <f t="shared" si="0"/>
        <v>45;2017</v>
      </c>
      <c r="B29" s="37" t="str">
        <f t="shared" si="1"/>
        <v>Nov</v>
      </c>
      <c r="C29" s="37" t="str">
        <f t="shared" si="2"/>
        <v>11;2017</v>
      </c>
      <c r="D29" s="135">
        <f t="shared" si="3"/>
        <v>43050</v>
      </c>
      <c r="E29" s="136"/>
      <c r="F29" s="133">
        <f ca="1">SUMIF(Daily!$A$7:$A$175,Weelky!$A29,Daily!$E$8:$F$175)</f>
        <v>463</v>
      </c>
      <c r="G29" s="134"/>
      <c r="H29" s="19">
        <f>SUMIF(Daily!$A$7:$A$175,Weelky!$A29,Daily!K$7:K$175)</f>
        <v>427</v>
      </c>
      <c r="I29" s="25">
        <f>SUMIF(Daily!$A$7:$A$175,Weelky!$A29,Daily!L$7:L$175)</f>
        <v>0</v>
      </c>
      <c r="J29" s="26">
        <f>SUMIF(Daily!$A$7:$A$175,Weelky!$A29,Daily!M$7:M$175)</f>
        <v>36</v>
      </c>
      <c r="K29" s="24">
        <f>SUMIF(Daily!$A$7:$A$175,Weelky!$A29,Daily!N$7:N$175)</f>
        <v>181</v>
      </c>
      <c r="L29" s="25">
        <f>SUMIF(Daily!$A$7:$A$175,Weelky!$A29,Daily!O$7:O$175)</f>
        <v>260</v>
      </c>
      <c r="M29" s="26">
        <f>SUMIF(Daily!$A$7:$A$175,Weelky!$A29,Daily!P$7:P$175)</f>
        <v>22</v>
      </c>
      <c r="N29" s="24">
        <f>SUMIF(Daily!$A$7:$A$175,Weelky!$A29,Daily!Q$7:Q$175)</f>
        <v>8</v>
      </c>
      <c r="O29" s="25">
        <f>SUMIF(Daily!$A$7:$A$175,Weelky!$A29,Daily!R$7:R$175)</f>
        <v>282</v>
      </c>
      <c r="P29" s="26">
        <f>SUMIF(Daily!$A$7:$A$175,Weelky!$A29,Daily!S$7:S$175)</f>
        <v>173</v>
      </c>
      <c r="Q29" s="27">
        <f>SUMIF(Daily!$A$7:$A$175,Weelky!$A29,Daily!T$7:T$175)</f>
        <v>463</v>
      </c>
    </row>
    <row r="30" spans="1:17" x14ac:dyDescent="0.35">
      <c r="A30" s="37" t="str">
        <f t="shared" si="0"/>
        <v>46;2017</v>
      </c>
      <c r="B30" s="37" t="str">
        <f t="shared" si="1"/>
        <v>Nov</v>
      </c>
      <c r="C30" s="37" t="str">
        <f t="shared" si="2"/>
        <v>11;2017</v>
      </c>
      <c r="D30" s="135">
        <f t="shared" si="3"/>
        <v>43057</v>
      </c>
      <c r="E30" s="136"/>
      <c r="F30" s="133">
        <f ca="1">SUMIF(Daily!$A$7:$A$175,Weelky!$A30,Daily!$E$8:$F$175)</f>
        <v>796</v>
      </c>
      <c r="G30" s="134"/>
      <c r="H30" s="19">
        <f>SUMIF(Daily!$A$7:$A$175,Weelky!$A30,Daily!K$7:K$175)</f>
        <v>709</v>
      </c>
      <c r="I30" s="25">
        <f>SUMIF(Daily!$A$7:$A$175,Weelky!$A30,Daily!L$7:L$175)</f>
        <v>0</v>
      </c>
      <c r="J30" s="26">
        <f>SUMIF(Daily!$A$7:$A$175,Weelky!$A30,Daily!M$7:M$175)</f>
        <v>87</v>
      </c>
      <c r="K30" s="24">
        <f>SUMIF(Daily!$A$7:$A$175,Weelky!$A30,Daily!N$7:N$175)</f>
        <v>310</v>
      </c>
      <c r="L30" s="25">
        <f>SUMIF(Daily!$A$7:$A$175,Weelky!$A30,Daily!O$7:O$175)</f>
        <v>447</v>
      </c>
      <c r="M30" s="26">
        <f>SUMIF(Daily!$A$7:$A$175,Weelky!$A30,Daily!P$7:P$175)</f>
        <v>39</v>
      </c>
      <c r="N30" s="24">
        <f>SUMIF(Daily!$A$7:$A$175,Weelky!$A30,Daily!Q$7:Q$175)</f>
        <v>19</v>
      </c>
      <c r="O30" s="25">
        <f>SUMIF(Daily!$A$7:$A$175,Weelky!$A30,Daily!R$7:R$175)</f>
        <v>465</v>
      </c>
      <c r="P30" s="26">
        <f>SUMIF(Daily!$A$7:$A$175,Weelky!$A30,Daily!S$7:S$175)</f>
        <v>312</v>
      </c>
      <c r="Q30" s="27">
        <f>SUMIF(Daily!$A$7:$A$175,Weelky!$A30,Daily!T$7:T$175)</f>
        <v>796</v>
      </c>
    </row>
    <row r="31" spans="1:17" x14ac:dyDescent="0.35">
      <c r="A31" s="37" t="str">
        <f t="shared" si="0"/>
        <v>47;2017</v>
      </c>
      <c r="B31" s="37" t="str">
        <f t="shared" si="1"/>
        <v>Nov</v>
      </c>
      <c r="C31" s="37" t="str">
        <f t="shared" si="2"/>
        <v>11;2017</v>
      </c>
      <c r="D31" s="135">
        <f t="shared" si="3"/>
        <v>43064</v>
      </c>
      <c r="E31" s="136"/>
      <c r="F31" s="133">
        <f ca="1">SUMIF(Daily!$A$7:$A$175,Weelky!$A31,Daily!$E$8:$F$175)</f>
        <v>0</v>
      </c>
      <c r="G31" s="134"/>
      <c r="H31" s="19">
        <f>SUMIF(Daily!$A$7:$A$175,Weelky!$A31,Daily!K$7:K$175)</f>
        <v>0</v>
      </c>
      <c r="I31" s="25">
        <f>SUMIF(Daily!$A$7:$A$175,Weelky!$A31,Daily!L$7:L$175)</f>
        <v>0</v>
      </c>
      <c r="J31" s="26">
        <f>SUMIF(Daily!$A$7:$A$175,Weelky!$A31,Daily!M$7:M$175)</f>
        <v>0</v>
      </c>
      <c r="K31" s="24">
        <f>SUMIF(Daily!$A$7:$A$175,Weelky!$A31,Daily!N$7:N$175)</f>
        <v>0</v>
      </c>
      <c r="L31" s="25">
        <f>SUMIF(Daily!$A$7:$A$175,Weelky!$A31,Daily!O$7:O$175)</f>
        <v>0</v>
      </c>
      <c r="M31" s="26">
        <f>SUMIF(Daily!$A$7:$A$175,Weelky!$A31,Daily!P$7:P$175)</f>
        <v>0</v>
      </c>
      <c r="N31" s="24">
        <f>SUMIF(Daily!$A$7:$A$175,Weelky!$A31,Daily!Q$7:Q$175)</f>
        <v>0</v>
      </c>
      <c r="O31" s="25">
        <f>SUMIF(Daily!$A$7:$A$175,Weelky!$A31,Daily!R$7:R$175)</f>
        <v>0</v>
      </c>
      <c r="P31" s="26">
        <f>SUMIF(Daily!$A$7:$A$175,Weelky!$A31,Daily!S$7:S$175)</f>
        <v>0</v>
      </c>
      <c r="Q31" s="27">
        <f>SUMIF(Daily!$A$7:$A$175,Weelky!$A31,Daily!T$7:T$175)</f>
        <v>0</v>
      </c>
    </row>
    <row r="32" spans="1:17" x14ac:dyDescent="0.35">
      <c r="A32"/>
      <c r="B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x14ac:dyDescent="0.35">
      <c r="A33"/>
      <c r="B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x14ac:dyDescent="0.35">
      <c r="A34"/>
      <c r="B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x14ac:dyDescent="0.35">
      <c r="A35"/>
      <c r="B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x14ac:dyDescent="0.35">
      <c r="A36"/>
      <c r="B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x14ac:dyDescent="0.35">
      <c r="A37"/>
      <c r="B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x14ac:dyDescent="0.35">
      <c r="A38"/>
      <c r="B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x14ac:dyDescent="0.35">
      <c r="A39"/>
      <c r="B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x14ac:dyDescent="0.35">
      <c r="A40"/>
      <c r="B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x14ac:dyDescent="0.35">
      <c r="A41"/>
      <c r="B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x14ac:dyDescent="0.35">
      <c r="A42"/>
      <c r="B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x14ac:dyDescent="0.35">
      <c r="A43"/>
      <c r="B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x14ac:dyDescent="0.35">
      <c r="A44"/>
      <c r="B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x14ac:dyDescent="0.35">
      <c r="A45"/>
      <c r="B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x14ac:dyDescent="0.35">
      <c r="A46"/>
      <c r="B46"/>
      <c r="E46"/>
      <c r="F46"/>
      <c r="G46"/>
      <c r="H46"/>
      <c r="I46"/>
      <c r="J46"/>
      <c r="K46"/>
      <c r="L46"/>
      <c r="M46"/>
      <c r="N46"/>
      <c r="O46"/>
      <c r="P46"/>
    </row>
    <row r="47" spans="1:16" x14ac:dyDescent="0.35">
      <c r="A47"/>
      <c r="B47"/>
      <c r="E47"/>
      <c r="F47"/>
      <c r="G47"/>
      <c r="H47"/>
      <c r="I47"/>
      <c r="J47"/>
      <c r="K47"/>
      <c r="L47"/>
      <c r="M47"/>
      <c r="N47"/>
      <c r="O47"/>
      <c r="P47"/>
    </row>
    <row r="48" spans="1:16" x14ac:dyDescent="0.35">
      <c r="A48"/>
      <c r="B48"/>
      <c r="E48"/>
      <c r="F48"/>
      <c r="G48"/>
      <c r="H48"/>
      <c r="I48"/>
      <c r="J48"/>
      <c r="K48"/>
      <c r="L48"/>
      <c r="M48"/>
      <c r="N48"/>
      <c r="O48"/>
      <c r="P48"/>
    </row>
    <row r="49" spans="1:16" x14ac:dyDescent="0.35">
      <c r="A49"/>
      <c r="B49"/>
      <c r="E49"/>
      <c r="F49"/>
      <c r="G49"/>
      <c r="H49"/>
      <c r="I49"/>
      <c r="J49"/>
      <c r="K49"/>
      <c r="L49"/>
      <c r="M49"/>
      <c r="N49"/>
      <c r="O49"/>
      <c r="P49"/>
    </row>
    <row r="50" spans="1:16" x14ac:dyDescent="0.35">
      <c r="A50"/>
      <c r="B50"/>
      <c r="E50"/>
      <c r="F50"/>
      <c r="G50"/>
      <c r="H50"/>
      <c r="I50"/>
      <c r="J50"/>
      <c r="K50"/>
      <c r="L50"/>
      <c r="M50"/>
      <c r="N50"/>
      <c r="O50"/>
      <c r="P50"/>
    </row>
    <row r="51" spans="1:16" x14ac:dyDescent="0.35">
      <c r="A51"/>
      <c r="B51"/>
      <c r="E51"/>
      <c r="F51"/>
      <c r="G51"/>
      <c r="H51"/>
      <c r="I51"/>
      <c r="J51"/>
      <c r="K51"/>
      <c r="L51"/>
      <c r="M51"/>
      <c r="N51"/>
      <c r="O51"/>
      <c r="P51"/>
    </row>
    <row r="52" spans="1:16" x14ac:dyDescent="0.35">
      <c r="A52"/>
      <c r="B52"/>
      <c r="E52"/>
      <c r="F52"/>
      <c r="G52"/>
      <c r="H52"/>
      <c r="I52"/>
      <c r="J52"/>
      <c r="K52"/>
      <c r="L52"/>
      <c r="M52"/>
      <c r="N52"/>
      <c r="O52"/>
      <c r="P52"/>
    </row>
    <row r="53" spans="1:16" x14ac:dyDescent="0.35">
      <c r="A53"/>
      <c r="B53"/>
      <c r="E53"/>
      <c r="F53"/>
      <c r="G53"/>
      <c r="H53"/>
      <c r="I53"/>
      <c r="J53"/>
      <c r="K53"/>
      <c r="L53"/>
      <c r="M53"/>
      <c r="N53"/>
      <c r="O53"/>
      <c r="P53"/>
    </row>
    <row r="54" spans="1:16" x14ac:dyDescent="0.35">
      <c r="A54"/>
      <c r="B54"/>
      <c r="E54"/>
      <c r="F54"/>
      <c r="G54"/>
      <c r="H54"/>
      <c r="I54"/>
      <c r="J54"/>
      <c r="K54"/>
      <c r="L54"/>
      <c r="M54"/>
      <c r="N54"/>
      <c r="O54"/>
      <c r="P54"/>
    </row>
    <row r="55" spans="1:16" x14ac:dyDescent="0.35">
      <c r="A55"/>
      <c r="B55"/>
      <c r="E55"/>
      <c r="F55"/>
      <c r="G55"/>
      <c r="H55"/>
      <c r="I55"/>
      <c r="J55"/>
      <c r="K55"/>
      <c r="L55"/>
      <c r="M55"/>
      <c r="N55"/>
      <c r="O55"/>
      <c r="P55"/>
    </row>
    <row r="56" spans="1:16" x14ac:dyDescent="0.35">
      <c r="A56"/>
      <c r="B56"/>
      <c r="E56"/>
      <c r="F56"/>
      <c r="G56"/>
      <c r="H56"/>
      <c r="I56"/>
      <c r="J56"/>
      <c r="K56"/>
      <c r="L56"/>
      <c r="M56"/>
      <c r="N56"/>
      <c r="O56"/>
      <c r="P56"/>
    </row>
    <row r="57" spans="1:16" x14ac:dyDescent="0.35">
      <c r="A57"/>
      <c r="B57"/>
      <c r="E57"/>
      <c r="F57"/>
      <c r="G57"/>
      <c r="H57"/>
      <c r="I57"/>
      <c r="J57"/>
      <c r="K57"/>
      <c r="L57"/>
      <c r="M57"/>
      <c r="N57"/>
      <c r="O57"/>
      <c r="P57"/>
    </row>
    <row r="58" spans="1:16" x14ac:dyDescent="0.35">
      <c r="A58"/>
      <c r="B58"/>
      <c r="E58"/>
      <c r="F58"/>
      <c r="G58"/>
      <c r="H58"/>
      <c r="I58"/>
      <c r="J58"/>
      <c r="K58"/>
      <c r="L58"/>
      <c r="M58"/>
      <c r="N58"/>
      <c r="O58"/>
      <c r="P58"/>
    </row>
    <row r="59" spans="1:16" x14ac:dyDescent="0.35">
      <c r="A59"/>
      <c r="B59"/>
      <c r="E59"/>
      <c r="F59"/>
      <c r="G59"/>
      <c r="H59"/>
      <c r="I59"/>
      <c r="J59"/>
      <c r="K59"/>
      <c r="L59"/>
      <c r="M59"/>
      <c r="N59"/>
      <c r="O59"/>
      <c r="P59"/>
    </row>
    <row r="60" spans="1:16" x14ac:dyDescent="0.35">
      <c r="A60"/>
      <c r="B60"/>
      <c r="E60"/>
      <c r="F60"/>
      <c r="G60"/>
      <c r="H60"/>
      <c r="I60"/>
      <c r="J60"/>
      <c r="K60"/>
      <c r="L60"/>
      <c r="M60"/>
      <c r="N60"/>
      <c r="O60"/>
      <c r="P60"/>
    </row>
    <row r="61" spans="1:16" x14ac:dyDescent="0.35">
      <c r="A61"/>
      <c r="B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35">
      <c r="A62"/>
      <c r="B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35">
      <c r="A63"/>
      <c r="B63"/>
      <c r="E63"/>
      <c r="F63"/>
      <c r="G63"/>
      <c r="H63"/>
      <c r="I63"/>
      <c r="J63"/>
      <c r="K63"/>
      <c r="L63"/>
      <c r="M63"/>
      <c r="N63"/>
      <c r="O63"/>
      <c r="P63"/>
    </row>
    <row r="64" spans="1:16" x14ac:dyDescent="0.35">
      <c r="A64"/>
      <c r="B64"/>
      <c r="E64"/>
      <c r="F64"/>
      <c r="G64"/>
      <c r="H64"/>
      <c r="I64"/>
      <c r="J64"/>
      <c r="K64"/>
      <c r="L64"/>
      <c r="M64"/>
      <c r="N64"/>
      <c r="O64"/>
      <c r="P64"/>
    </row>
    <row r="65" spans="1:16" x14ac:dyDescent="0.35">
      <c r="A65"/>
      <c r="B65"/>
      <c r="E65"/>
      <c r="F65"/>
      <c r="G65"/>
      <c r="H65"/>
      <c r="I65"/>
      <c r="J65"/>
      <c r="K65"/>
      <c r="L65"/>
      <c r="M65"/>
      <c r="N65"/>
      <c r="O65"/>
      <c r="P65"/>
    </row>
    <row r="66" spans="1:16" x14ac:dyDescent="0.35">
      <c r="A66"/>
      <c r="B66"/>
      <c r="E66"/>
      <c r="F66"/>
      <c r="G66"/>
      <c r="H66"/>
      <c r="I66"/>
      <c r="J66"/>
      <c r="K66"/>
      <c r="L66"/>
      <c r="M66"/>
      <c r="N66"/>
      <c r="O66"/>
      <c r="P66"/>
    </row>
    <row r="67" spans="1:16" x14ac:dyDescent="0.35">
      <c r="A67"/>
      <c r="B67"/>
      <c r="E67"/>
      <c r="F67"/>
      <c r="G67"/>
      <c r="H67"/>
      <c r="I67"/>
      <c r="J67"/>
      <c r="K67"/>
      <c r="L67"/>
      <c r="M67"/>
      <c r="N67"/>
      <c r="O67"/>
      <c r="P67"/>
    </row>
    <row r="68" spans="1:16" x14ac:dyDescent="0.35">
      <c r="A68"/>
      <c r="B68"/>
      <c r="E68"/>
      <c r="F68"/>
      <c r="G68"/>
      <c r="H68"/>
      <c r="I68"/>
      <c r="J68"/>
      <c r="K68"/>
      <c r="L68"/>
      <c r="M68"/>
      <c r="N68"/>
      <c r="O68"/>
      <c r="P68"/>
    </row>
    <row r="69" spans="1:16" x14ac:dyDescent="0.35">
      <c r="A69"/>
      <c r="B69"/>
      <c r="E69"/>
      <c r="F69"/>
      <c r="G69"/>
      <c r="H69"/>
      <c r="I69"/>
      <c r="J69"/>
      <c r="K69"/>
      <c r="L69"/>
      <c r="M69"/>
      <c r="N69"/>
      <c r="O69"/>
      <c r="P69"/>
    </row>
    <row r="70" spans="1:16" x14ac:dyDescent="0.35">
      <c r="A70"/>
      <c r="B70"/>
      <c r="E70"/>
      <c r="F70"/>
      <c r="G70"/>
      <c r="H70"/>
      <c r="I70"/>
      <c r="J70"/>
      <c r="K70"/>
      <c r="L70"/>
      <c r="M70"/>
      <c r="N70"/>
      <c r="O70"/>
      <c r="P70"/>
    </row>
    <row r="71" spans="1:16" x14ac:dyDescent="0.35">
      <c r="A71"/>
      <c r="B71"/>
      <c r="E71"/>
      <c r="F71"/>
      <c r="G71"/>
      <c r="H71"/>
      <c r="I71"/>
      <c r="J71"/>
      <c r="K71"/>
      <c r="L71"/>
      <c r="M71"/>
      <c r="N71"/>
      <c r="O71"/>
      <c r="P71"/>
    </row>
    <row r="72" spans="1:16" x14ac:dyDescent="0.35">
      <c r="A72"/>
      <c r="B72"/>
      <c r="E72"/>
      <c r="F72"/>
      <c r="G72"/>
      <c r="H72"/>
      <c r="I72"/>
      <c r="J72"/>
      <c r="K72"/>
      <c r="L72"/>
      <c r="M72"/>
      <c r="N72"/>
      <c r="O72"/>
      <c r="P72"/>
    </row>
    <row r="73" spans="1:16" x14ac:dyDescent="0.35">
      <c r="A73"/>
      <c r="B73"/>
      <c r="E73"/>
      <c r="F73"/>
      <c r="G73"/>
      <c r="H73"/>
      <c r="I73"/>
      <c r="J73"/>
      <c r="K73"/>
      <c r="L73"/>
      <c r="M73"/>
      <c r="N73"/>
      <c r="O73"/>
      <c r="P73"/>
    </row>
    <row r="74" spans="1:16" x14ac:dyDescent="0.35">
      <c r="A74"/>
      <c r="B74"/>
      <c r="E74"/>
      <c r="F74"/>
      <c r="G74"/>
      <c r="H74"/>
      <c r="I74"/>
      <c r="J74"/>
      <c r="K74"/>
      <c r="L74"/>
      <c r="M74"/>
      <c r="N74"/>
      <c r="O74"/>
      <c r="P74"/>
    </row>
    <row r="75" spans="1:16" x14ac:dyDescent="0.35">
      <c r="A75"/>
      <c r="B75"/>
      <c r="E75"/>
      <c r="F75"/>
      <c r="G75"/>
      <c r="H75"/>
      <c r="I75"/>
      <c r="J75"/>
      <c r="K75"/>
      <c r="L75"/>
      <c r="M75"/>
      <c r="N75"/>
      <c r="O75"/>
      <c r="P75"/>
    </row>
    <row r="76" spans="1:16" x14ac:dyDescent="0.35">
      <c r="A76"/>
      <c r="B76"/>
      <c r="E76"/>
      <c r="F76"/>
      <c r="G76"/>
      <c r="H76"/>
      <c r="I76"/>
      <c r="J76"/>
      <c r="K76"/>
      <c r="L76"/>
      <c r="M76"/>
      <c r="N76"/>
      <c r="O76"/>
      <c r="P76"/>
    </row>
    <row r="77" spans="1:16" x14ac:dyDescent="0.35">
      <c r="A77"/>
      <c r="B77"/>
      <c r="E77"/>
      <c r="F77"/>
      <c r="G77"/>
      <c r="H77"/>
      <c r="I77"/>
      <c r="J77"/>
      <c r="K77"/>
      <c r="L77"/>
      <c r="M77"/>
      <c r="N77"/>
      <c r="O77"/>
      <c r="P77"/>
    </row>
    <row r="78" spans="1:16" x14ac:dyDescent="0.35">
      <c r="A78"/>
      <c r="B78"/>
    </row>
    <row r="79" spans="1:16" x14ac:dyDescent="0.35">
      <c r="A79"/>
      <c r="B79"/>
    </row>
    <row r="80" spans="1:16" x14ac:dyDescent="0.35">
      <c r="A80"/>
      <c r="B80"/>
    </row>
    <row r="81" spans="1:20" x14ac:dyDescent="0.35">
      <c r="A81"/>
      <c r="B81"/>
    </row>
    <row r="82" spans="1:20" x14ac:dyDescent="0.35">
      <c r="A82"/>
      <c r="B82"/>
    </row>
    <row r="83" spans="1:20" x14ac:dyDescent="0.35">
      <c r="A83"/>
      <c r="B83"/>
    </row>
    <row r="84" spans="1:20" x14ac:dyDescent="0.35">
      <c r="A84"/>
      <c r="B84"/>
    </row>
    <row r="85" spans="1:20" x14ac:dyDescent="0.35">
      <c r="A85"/>
      <c r="B85"/>
    </row>
    <row r="86" spans="1:20" x14ac:dyDescent="0.35">
      <c r="A86"/>
      <c r="B86"/>
    </row>
    <row r="87" spans="1:20" x14ac:dyDescent="0.35">
      <c r="A87"/>
      <c r="B87"/>
    </row>
    <row r="88" spans="1:20" x14ac:dyDescent="0.35">
      <c r="A88"/>
      <c r="B88"/>
    </row>
    <row r="89" spans="1:20" x14ac:dyDescent="0.35">
      <c r="A89"/>
      <c r="B89"/>
    </row>
    <row r="90" spans="1:20" x14ac:dyDescent="0.35">
      <c r="A90"/>
      <c r="B90"/>
    </row>
    <row r="91" spans="1:20" x14ac:dyDescent="0.3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x14ac:dyDescent="0.3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x14ac:dyDescent="0.3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x14ac:dyDescent="0.3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x14ac:dyDescent="0.3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x14ac:dyDescent="0.3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x14ac:dyDescent="0.35">
      <c r="A107"/>
      <c r="B107"/>
    </row>
    <row r="108" spans="1:20" x14ac:dyDescent="0.35">
      <c r="A108"/>
      <c r="B108"/>
    </row>
    <row r="109" spans="1:20" x14ac:dyDescent="0.35">
      <c r="A109"/>
      <c r="B109"/>
    </row>
    <row r="110" spans="1:20" x14ac:dyDescent="0.35">
      <c r="A110"/>
      <c r="B110"/>
    </row>
    <row r="111" spans="1:20" x14ac:dyDescent="0.35">
      <c r="A111"/>
      <c r="B111"/>
    </row>
    <row r="112" spans="1:20" x14ac:dyDescent="0.35">
      <c r="A112"/>
      <c r="B112"/>
    </row>
    <row r="113" spans="1:2" x14ac:dyDescent="0.35">
      <c r="A113"/>
      <c r="B113"/>
    </row>
    <row r="114" spans="1:2" x14ac:dyDescent="0.35">
      <c r="A114"/>
      <c r="B114"/>
    </row>
    <row r="115" spans="1:2" x14ac:dyDescent="0.35">
      <c r="A115"/>
      <c r="B115"/>
    </row>
    <row r="116" spans="1:2" x14ac:dyDescent="0.35">
      <c r="A116"/>
      <c r="B116"/>
    </row>
    <row r="117" spans="1:2" x14ac:dyDescent="0.35">
      <c r="A117"/>
      <c r="B117"/>
    </row>
    <row r="118" spans="1:2" x14ac:dyDescent="0.35">
      <c r="A118"/>
      <c r="B118"/>
    </row>
    <row r="119" spans="1:2" x14ac:dyDescent="0.35">
      <c r="A119"/>
      <c r="B119"/>
    </row>
    <row r="120" spans="1:2" x14ac:dyDescent="0.35">
      <c r="A120"/>
      <c r="B120"/>
    </row>
    <row r="121" spans="1:2" x14ac:dyDescent="0.35">
      <c r="A121"/>
      <c r="B121"/>
    </row>
    <row r="122" spans="1:2" x14ac:dyDescent="0.35">
      <c r="A122"/>
      <c r="B122"/>
    </row>
    <row r="123" spans="1:2" x14ac:dyDescent="0.35">
      <c r="A123"/>
      <c r="B123"/>
    </row>
    <row r="124" spans="1:2" x14ac:dyDescent="0.35">
      <c r="A124"/>
      <c r="B124"/>
    </row>
    <row r="125" spans="1:2" x14ac:dyDescent="0.35">
      <c r="A125"/>
      <c r="B125"/>
    </row>
    <row r="126" spans="1:2" x14ac:dyDescent="0.35">
      <c r="A126"/>
      <c r="B126"/>
    </row>
    <row r="127" spans="1:2" x14ac:dyDescent="0.35">
      <c r="A127"/>
      <c r="B127"/>
    </row>
    <row r="128" spans="1:2" x14ac:dyDescent="0.35">
      <c r="A128"/>
      <c r="B128"/>
    </row>
    <row r="129" spans="1:2" x14ac:dyDescent="0.35">
      <c r="A129"/>
      <c r="B129"/>
    </row>
    <row r="130" spans="1:2" x14ac:dyDescent="0.35">
      <c r="A130"/>
      <c r="B130"/>
    </row>
    <row r="131" spans="1:2" x14ac:dyDescent="0.35">
      <c r="A131"/>
      <c r="B131"/>
    </row>
    <row r="132" spans="1:2" x14ac:dyDescent="0.35">
      <c r="A132"/>
      <c r="B132"/>
    </row>
    <row r="133" spans="1:2" x14ac:dyDescent="0.35">
      <c r="A133"/>
      <c r="B133"/>
    </row>
    <row r="134" spans="1:2" x14ac:dyDescent="0.35">
      <c r="A134"/>
      <c r="B134"/>
    </row>
    <row r="135" spans="1:2" x14ac:dyDescent="0.35">
      <c r="A135"/>
      <c r="B135"/>
    </row>
    <row r="136" spans="1:2" x14ac:dyDescent="0.35">
      <c r="A136"/>
      <c r="B136"/>
    </row>
    <row r="137" spans="1:2" x14ac:dyDescent="0.35">
      <c r="A137"/>
      <c r="B137"/>
    </row>
    <row r="138" spans="1:2" x14ac:dyDescent="0.35">
      <c r="A138"/>
      <c r="B138"/>
    </row>
    <row r="139" spans="1:2" x14ac:dyDescent="0.35">
      <c r="A139"/>
      <c r="B139"/>
    </row>
    <row r="140" spans="1:2" x14ac:dyDescent="0.35">
      <c r="A140"/>
      <c r="B140"/>
    </row>
    <row r="141" spans="1:2" x14ac:dyDescent="0.35">
      <c r="A141"/>
      <c r="B141"/>
    </row>
    <row r="142" spans="1:2" x14ac:dyDescent="0.35">
      <c r="A142"/>
      <c r="B142"/>
    </row>
    <row r="143" spans="1:2" x14ac:dyDescent="0.35">
      <c r="A143"/>
      <c r="B143"/>
    </row>
    <row r="144" spans="1:2" x14ac:dyDescent="0.35">
      <c r="A144"/>
      <c r="B144"/>
    </row>
    <row r="145" spans="1:2" x14ac:dyDescent="0.35">
      <c r="A145"/>
      <c r="B145"/>
    </row>
    <row r="146" spans="1:2" x14ac:dyDescent="0.35">
      <c r="A146"/>
      <c r="B146"/>
    </row>
    <row r="147" spans="1:2" x14ac:dyDescent="0.35">
      <c r="A147"/>
      <c r="B147"/>
    </row>
    <row r="148" spans="1:2" x14ac:dyDescent="0.35">
      <c r="A148"/>
      <c r="B148"/>
    </row>
    <row r="149" spans="1:2" x14ac:dyDescent="0.35">
      <c r="A149"/>
      <c r="B149"/>
    </row>
    <row r="150" spans="1:2" x14ac:dyDescent="0.35">
      <c r="A150"/>
      <c r="B150"/>
    </row>
    <row r="151" spans="1:2" x14ac:dyDescent="0.35">
      <c r="A151"/>
      <c r="B151"/>
    </row>
    <row r="152" spans="1:2" x14ac:dyDescent="0.35">
      <c r="A152"/>
      <c r="B152"/>
    </row>
    <row r="153" spans="1:2" x14ac:dyDescent="0.35">
      <c r="A153"/>
      <c r="B153"/>
    </row>
    <row r="154" spans="1:2" x14ac:dyDescent="0.35">
      <c r="A154"/>
      <c r="B154"/>
    </row>
    <row r="155" spans="1:2" x14ac:dyDescent="0.35">
      <c r="A155"/>
      <c r="B155"/>
    </row>
    <row r="156" spans="1:2" x14ac:dyDescent="0.35">
      <c r="A156"/>
      <c r="B156"/>
    </row>
    <row r="157" spans="1:2" x14ac:dyDescent="0.35">
      <c r="A157"/>
      <c r="B157"/>
    </row>
    <row r="158" spans="1:2" x14ac:dyDescent="0.35">
      <c r="A158"/>
      <c r="B158"/>
    </row>
    <row r="159" spans="1:2" x14ac:dyDescent="0.35">
      <c r="A159"/>
      <c r="B159"/>
    </row>
    <row r="160" spans="1:2" x14ac:dyDescent="0.35">
      <c r="A160"/>
      <c r="B160"/>
    </row>
    <row r="161" spans="1:2" x14ac:dyDescent="0.35">
      <c r="A161"/>
      <c r="B161"/>
    </row>
    <row r="162" spans="1:2" x14ac:dyDescent="0.35">
      <c r="A162"/>
      <c r="B162"/>
    </row>
    <row r="163" spans="1:2" x14ac:dyDescent="0.35">
      <c r="A163"/>
      <c r="B163"/>
    </row>
    <row r="164" spans="1:2" x14ac:dyDescent="0.35">
      <c r="A164"/>
      <c r="B164"/>
    </row>
    <row r="165" spans="1:2" x14ac:dyDescent="0.35">
      <c r="A165"/>
      <c r="B165"/>
    </row>
    <row r="166" spans="1:2" x14ac:dyDescent="0.35">
      <c r="A166"/>
      <c r="B166"/>
    </row>
    <row r="167" spans="1:2" x14ac:dyDescent="0.35">
      <c r="A167"/>
      <c r="B167"/>
    </row>
    <row r="168" spans="1:2" x14ac:dyDescent="0.35">
      <c r="A168"/>
      <c r="B168"/>
    </row>
    <row r="169" spans="1:2" x14ac:dyDescent="0.35">
      <c r="A169"/>
      <c r="B169"/>
    </row>
    <row r="170" spans="1:2" x14ac:dyDescent="0.35">
      <c r="A170"/>
      <c r="B170"/>
    </row>
    <row r="171" spans="1:2" x14ac:dyDescent="0.35">
      <c r="A171"/>
      <c r="B171"/>
    </row>
    <row r="172" spans="1:2" x14ac:dyDescent="0.35">
      <c r="A172"/>
      <c r="B172"/>
    </row>
    <row r="173" spans="1:2" x14ac:dyDescent="0.35">
      <c r="A173"/>
      <c r="B173"/>
    </row>
    <row r="174" spans="1:2" x14ac:dyDescent="0.35">
      <c r="A174"/>
      <c r="B174"/>
    </row>
    <row r="175" spans="1:2" x14ac:dyDescent="0.35">
      <c r="A175"/>
      <c r="B175"/>
    </row>
  </sheetData>
  <mergeCells count="65">
    <mergeCell ref="F17:G17"/>
    <mergeCell ref="F18:G18"/>
    <mergeCell ref="F19:G19"/>
    <mergeCell ref="F20:G20"/>
    <mergeCell ref="D19:E19"/>
    <mergeCell ref="D20:E20"/>
    <mergeCell ref="D17:E17"/>
    <mergeCell ref="D18:E18"/>
    <mergeCell ref="F14:G14"/>
    <mergeCell ref="F15:G15"/>
    <mergeCell ref="F16:G16"/>
    <mergeCell ref="D13:E13"/>
    <mergeCell ref="D14:E14"/>
    <mergeCell ref="D15:E15"/>
    <mergeCell ref="D16:E16"/>
    <mergeCell ref="F13:G13"/>
    <mergeCell ref="D12:E12"/>
    <mergeCell ref="L5:L6"/>
    <mergeCell ref="M5:M6"/>
    <mergeCell ref="N5:N6"/>
    <mergeCell ref="O5:O6"/>
    <mergeCell ref="D8:E8"/>
    <mergeCell ref="F8:G8"/>
    <mergeCell ref="D9:E9"/>
    <mergeCell ref="D10:E10"/>
    <mergeCell ref="D11:E11"/>
    <mergeCell ref="F9:G9"/>
    <mergeCell ref="F10:G10"/>
    <mergeCell ref="F11:G11"/>
    <mergeCell ref="F12:G12"/>
    <mergeCell ref="D7:E7"/>
    <mergeCell ref="F7:G7"/>
    <mergeCell ref="D3:E6"/>
    <mergeCell ref="F3:G6"/>
    <mergeCell ref="H3:J4"/>
    <mergeCell ref="Q3:Q6"/>
    <mergeCell ref="H5:H6"/>
    <mergeCell ref="I5:I6"/>
    <mergeCell ref="J5:J6"/>
    <mergeCell ref="K5:K6"/>
    <mergeCell ref="P5:P6"/>
    <mergeCell ref="K3:M4"/>
    <mergeCell ref="N3:P4"/>
    <mergeCell ref="F31:G31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F26:G26"/>
    <mergeCell ref="F27:G27"/>
    <mergeCell ref="F28:G28"/>
    <mergeCell ref="F29:G29"/>
    <mergeCell ref="F30:G30"/>
    <mergeCell ref="F21:G21"/>
    <mergeCell ref="F22:G22"/>
    <mergeCell ref="F23:G23"/>
    <mergeCell ref="F24:G24"/>
    <mergeCell ref="F25:G2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U248"/>
  <sheetViews>
    <sheetView showGridLines="0" zoomScale="90" zoomScaleNormal="90" workbookViewId="0"/>
  </sheetViews>
  <sheetFormatPr defaultColWidth="9.1796875" defaultRowHeight="14.5" x14ac:dyDescent="0.35"/>
  <cols>
    <col min="1" max="2" width="9.1796875" style="1"/>
    <col min="3" max="3" width="10" style="1" bestFit="1" customWidth="1"/>
    <col min="4" max="4" width="11.453125" style="1" bestFit="1" customWidth="1"/>
    <col min="5" max="11" width="9.1796875" style="1"/>
    <col min="12" max="12" width="10.1796875" style="1" customWidth="1"/>
    <col min="13" max="19" width="9.1796875" style="1"/>
    <col min="20" max="20" width="15" style="1" bestFit="1" customWidth="1"/>
    <col min="21" max="16384" width="9.1796875" style="1"/>
  </cols>
  <sheetData>
    <row r="2" spans="1:20" ht="15" thickBot="1" x14ac:dyDescent="0.4"/>
    <row r="3" spans="1:20" x14ac:dyDescent="0.35">
      <c r="C3" s="79" t="s">
        <v>23</v>
      </c>
      <c r="D3" s="82" t="s">
        <v>24</v>
      </c>
      <c r="E3" s="159" t="s">
        <v>25</v>
      </c>
      <c r="F3" s="160"/>
      <c r="G3" s="165" t="s">
        <v>26</v>
      </c>
      <c r="H3" s="166"/>
      <c r="I3" s="171" t="s">
        <v>27</v>
      </c>
      <c r="J3" s="86"/>
      <c r="K3" s="93" t="s">
        <v>28</v>
      </c>
      <c r="L3" s="94"/>
      <c r="M3" s="95"/>
      <c r="N3" s="122" t="s">
        <v>14</v>
      </c>
      <c r="O3" s="123"/>
      <c r="P3" s="124"/>
      <c r="Q3" s="176" t="s">
        <v>15</v>
      </c>
      <c r="R3" s="177"/>
      <c r="S3" s="178"/>
      <c r="T3" s="107" t="s">
        <v>38</v>
      </c>
    </row>
    <row r="4" spans="1:20" x14ac:dyDescent="0.35">
      <c r="C4" s="80"/>
      <c r="D4" s="83"/>
      <c r="E4" s="161"/>
      <c r="F4" s="162"/>
      <c r="G4" s="167"/>
      <c r="H4" s="168"/>
      <c r="I4" s="172"/>
      <c r="J4" s="88"/>
      <c r="K4" s="96"/>
      <c r="L4" s="97"/>
      <c r="M4" s="98"/>
      <c r="N4" s="125"/>
      <c r="O4" s="126"/>
      <c r="P4" s="127"/>
      <c r="Q4" s="179"/>
      <c r="R4" s="180"/>
      <c r="S4" s="181"/>
      <c r="T4" s="108"/>
    </row>
    <row r="5" spans="1:20" x14ac:dyDescent="0.35">
      <c r="C5" s="80"/>
      <c r="D5" s="83"/>
      <c r="E5" s="161"/>
      <c r="F5" s="162"/>
      <c r="G5" s="167"/>
      <c r="H5" s="168"/>
      <c r="I5" s="172"/>
      <c r="J5" s="88"/>
      <c r="K5" s="99" t="s">
        <v>29</v>
      </c>
      <c r="L5" s="101" t="s">
        <v>30</v>
      </c>
      <c r="M5" s="103" t="s">
        <v>31</v>
      </c>
      <c r="N5" s="114" t="s">
        <v>32</v>
      </c>
      <c r="O5" s="116" t="s">
        <v>33</v>
      </c>
      <c r="P5" s="110" t="s">
        <v>34</v>
      </c>
      <c r="Q5" s="112" t="s">
        <v>35</v>
      </c>
      <c r="R5" s="118" t="s">
        <v>36</v>
      </c>
      <c r="S5" s="120" t="s">
        <v>37</v>
      </c>
      <c r="T5" s="108"/>
    </row>
    <row r="6" spans="1:20" ht="15" thickBot="1" x14ac:dyDescent="0.4">
      <c r="C6" s="81"/>
      <c r="D6" s="84"/>
      <c r="E6" s="163"/>
      <c r="F6" s="164"/>
      <c r="G6" s="169"/>
      <c r="H6" s="170"/>
      <c r="I6" s="173"/>
      <c r="J6" s="90"/>
      <c r="K6" s="100"/>
      <c r="L6" s="102"/>
      <c r="M6" s="104"/>
      <c r="N6" s="115"/>
      <c r="O6" s="117"/>
      <c r="P6" s="111"/>
      <c r="Q6" s="113"/>
      <c r="R6" s="119"/>
      <c r="S6" s="121"/>
      <c r="T6" s="109"/>
    </row>
    <row r="7" spans="1:20" x14ac:dyDescent="0.35">
      <c r="A7" s="37" t="str">
        <f>WEEKNUM(C7,1)&amp;";"&amp;YEAR(C7)</f>
        <v>23;2017</v>
      </c>
      <c r="C7" s="33">
        <v>42890</v>
      </c>
      <c r="D7" s="3" t="str">
        <f>TEXT(C7,"dddd")</f>
        <v>Sunday</v>
      </c>
      <c r="E7" s="182"/>
      <c r="F7" s="175"/>
      <c r="G7" s="174"/>
      <c r="H7" s="175"/>
      <c r="I7" s="174"/>
      <c r="J7" s="183"/>
      <c r="K7" s="4"/>
      <c r="L7" s="5"/>
      <c r="M7" s="6"/>
      <c r="N7" s="4"/>
      <c r="O7" s="5"/>
      <c r="P7" s="6"/>
      <c r="Q7" s="4"/>
      <c r="R7" s="5"/>
      <c r="S7" s="6"/>
      <c r="T7" s="7"/>
    </row>
    <row r="8" spans="1:20" x14ac:dyDescent="0.35">
      <c r="A8" s="37" t="str">
        <f t="shared" ref="A8:A71" si="0">WEEKNUM(C8,1)&amp;";"&amp;YEAR(C8)</f>
        <v>23;2017</v>
      </c>
      <c r="C8" s="34">
        <v>42891</v>
      </c>
      <c r="D8" s="18" t="str">
        <f t="shared" ref="D8:D19" si="1">TEXT(C8,"dddd")</f>
        <v>Monday</v>
      </c>
      <c r="E8" s="156">
        <v>89</v>
      </c>
      <c r="F8" s="136"/>
      <c r="G8" s="133">
        <v>0</v>
      </c>
      <c r="H8" s="136"/>
      <c r="I8" s="133">
        <v>89</v>
      </c>
      <c r="J8" s="134"/>
      <c r="K8" s="19">
        <v>84</v>
      </c>
      <c r="L8" s="20">
        <v>0</v>
      </c>
      <c r="M8" s="21">
        <v>5</v>
      </c>
      <c r="N8" s="19">
        <v>38</v>
      </c>
      <c r="O8" s="20">
        <v>49</v>
      </c>
      <c r="P8" s="21">
        <v>2</v>
      </c>
      <c r="Q8" s="19">
        <v>2</v>
      </c>
      <c r="R8" s="20">
        <v>49</v>
      </c>
      <c r="S8" s="21">
        <v>38</v>
      </c>
      <c r="T8" s="22">
        <v>89</v>
      </c>
    </row>
    <row r="9" spans="1:20" x14ac:dyDescent="0.35">
      <c r="A9" s="37" t="str">
        <f t="shared" si="0"/>
        <v>23;2017</v>
      </c>
      <c r="C9" s="35">
        <v>42892</v>
      </c>
      <c r="D9" s="23" t="str">
        <f t="shared" si="1"/>
        <v>Tuesday</v>
      </c>
      <c r="E9" s="156">
        <v>17</v>
      </c>
      <c r="F9" s="136"/>
      <c r="G9" s="133">
        <v>0</v>
      </c>
      <c r="H9" s="136"/>
      <c r="I9" s="133">
        <v>17</v>
      </c>
      <c r="J9" s="134"/>
      <c r="K9" s="24">
        <v>17</v>
      </c>
      <c r="L9" s="25">
        <v>0</v>
      </c>
      <c r="M9" s="26">
        <v>0</v>
      </c>
      <c r="N9" s="24">
        <v>6</v>
      </c>
      <c r="O9" s="25">
        <v>11</v>
      </c>
      <c r="P9" s="26">
        <v>0</v>
      </c>
      <c r="Q9" s="24">
        <v>0</v>
      </c>
      <c r="R9" s="25">
        <v>11</v>
      </c>
      <c r="S9" s="26">
        <v>6</v>
      </c>
      <c r="T9" s="27">
        <v>17</v>
      </c>
    </row>
    <row r="10" spans="1:20" x14ac:dyDescent="0.35">
      <c r="A10" s="37" t="str">
        <f t="shared" si="0"/>
        <v>23;2017</v>
      </c>
      <c r="C10" s="35">
        <v>42893</v>
      </c>
      <c r="D10" s="23" t="str">
        <f t="shared" si="1"/>
        <v>Wednesday</v>
      </c>
      <c r="E10" s="156">
        <v>123</v>
      </c>
      <c r="F10" s="136"/>
      <c r="G10" s="133">
        <v>0</v>
      </c>
      <c r="H10" s="136"/>
      <c r="I10" s="133">
        <v>123</v>
      </c>
      <c r="J10" s="134"/>
      <c r="K10" s="24">
        <v>114</v>
      </c>
      <c r="L10" s="25">
        <v>0</v>
      </c>
      <c r="M10" s="26">
        <v>9</v>
      </c>
      <c r="N10" s="24">
        <v>46</v>
      </c>
      <c r="O10" s="25">
        <v>71</v>
      </c>
      <c r="P10" s="26">
        <v>6</v>
      </c>
      <c r="Q10" s="24">
        <v>0</v>
      </c>
      <c r="R10" s="25">
        <v>81</v>
      </c>
      <c r="S10" s="26">
        <v>42</v>
      </c>
      <c r="T10" s="27">
        <v>123</v>
      </c>
    </row>
    <row r="11" spans="1:20" x14ac:dyDescent="0.35">
      <c r="A11" s="37" t="str">
        <f t="shared" si="0"/>
        <v>23;2017</v>
      </c>
      <c r="C11" s="35">
        <v>42894</v>
      </c>
      <c r="D11" s="23" t="str">
        <f t="shared" si="1"/>
        <v>Thursday</v>
      </c>
      <c r="E11" s="156">
        <v>161</v>
      </c>
      <c r="F11" s="136"/>
      <c r="G11" s="133">
        <v>0</v>
      </c>
      <c r="H11" s="136"/>
      <c r="I11" s="133">
        <v>161</v>
      </c>
      <c r="J11" s="134"/>
      <c r="K11" s="24">
        <v>150</v>
      </c>
      <c r="L11" s="25">
        <v>0</v>
      </c>
      <c r="M11" s="26">
        <v>11</v>
      </c>
      <c r="N11" s="24">
        <v>61</v>
      </c>
      <c r="O11" s="25">
        <v>90</v>
      </c>
      <c r="P11" s="26">
        <v>10</v>
      </c>
      <c r="Q11" s="24">
        <v>5</v>
      </c>
      <c r="R11" s="25">
        <v>99</v>
      </c>
      <c r="S11" s="26">
        <v>57</v>
      </c>
      <c r="T11" s="27">
        <v>161</v>
      </c>
    </row>
    <row r="12" spans="1:20" x14ac:dyDescent="0.35">
      <c r="A12" s="37" t="str">
        <f t="shared" si="0"/>
        <v>23;2017</v>
      </c>
      <c r="C12" s="35">
        <v>42895</v>
      </c>
      <c r="D12" s="23" t="str">
        <f t="shared" si="1"/>
        <v>Friday</v>
      </c>
      <c r="E12" s="156">
        <v>73</v>
      </c>
      <c r="F12" s="136"/>
      <c r="G12" s="133">
        <v>0</v>
      </c>
      <c r="H12" s="136"/>
      <c r="I12" s="133">
        <v>73</v>
      </c>
      <c r="J12" s="134"/>
      <c r="K12" s="24">
        <v>62</v>
      </c>
      <c r="L12" s="25">
        <v>0</v>
      </c>
      <c r="M12" s="26">
        <v>11</v>
      </c>
      <c r="N12" s="24">
        <v>30</v>
      </c>
      <c r="O12" s="25">
        <v>39</v>
      </c>
      <c r="P12" s="26">
        <v>4</v>
      </c>
      <c r="Q12" s="24">
        <v>1</v>
      </c>
      <c r="R12" s="25">
        <v>42</v>
      </c>
      <c r="S12" s="26">
        <v>30</v>
      </c>
      <c r="T12" s="27">
        <v>73</v>
      </c>
    </row>
    <row r="13" spans="1:20" x14ac:dyDescent="0.35">
      <c r="A13" s="37" t="str">
        <f t="shared" si="0"/>
        <v>23;2017</v>
      </c>
      <c r="C13" s="36">
        <v>42896</v>
      </c>
      <c r="D13" s="8" t="str">
        <f t="shared" si="1"/>
        <v>Saturday</v>
      </c>
      <c r="E13" s="152"/>
      <c r="F13" s="153"/>
      <c r="G13" s="154"/>
      <c r="H13" s="153"/>
      <c r="I13" s="154"/>
      <c r="J13" s="155"/>
      <c r="K13" s="9"/>
      <c r="L13" s="10"/>
      <c r="M13" s="11"/>
      <c r="N13" s="9"/>
      <c r="O13" s="10"/>
      <c r="P13" s="11"/>
      <c r="Q13" s="9"/>
      <c r="R13" s="10"/>
      <c r="S13" s="11"/>
      <c r="T13" s="12"/>
    </row>
    <row r="14" spans="1:20" x14ac:dyDescent="0.35">
      <c r="A14" s="37" t="str">
        <f t="shared" si="0"/>
        <v>24;2017</v>
      </c>
      <c r="C14" s="36">
        <v>42897</v>
      </c>
      <c r="D14" s="8" t="str">
        <f t="shared" si="1"/>
        <v>Sunday</v>
      </c>
      <c r="E14" s="152"/>
      <c r="F14" s="153"/>
      <c r="G14" s="154"/>
      <c r="H14" s="153"/>
      <c r="I14" s="154"/>
      <c r="J14" s="155"/>
      <c r="K14" s="9"/>
      <c r="L14" s="10"/>
      <c r="M14" s="11"/>
      <c r="N14" s="9"/>
      <c r="O14" s="10"/>
      <c r="P14" s="11"/>
      <c r="Q14" s="9"/>
      <c r="R14" s="10"/>
      <c r="S14" s="11"/>
      <c r="T14" s="12"/>
    </row>
    <row r="15" spans="1:20" x14ac:dyDescent="0.35">
      <c r="A15" s="37" t="str">
        <f t="shared" si="0"/>
        <v>24;2017</v>
      </c>
      <c r="C15" s="35">
        <v>42898</v>
      </c>
      <c r="D15" s="23" t="str">
        <f t="shared" si="1"/>
        <v>Monday</v>
      </c>
      <c r="E15" s="157">
        <v>202</v>
      </c>
      <c r="F15" s="158"/>
      <c r="G15" s="133">
        <v>0</v>
      </c>
      <c r="H15" s="136"/>
      <c r="I15" s="133">
        <v>202</v>
      </c>
      <c r="J15" s="134"/>
      <c r="K15" s="24">
        <v>182</v>
      </c>
      <c r="L15" s="25">
        <v>0</v>
      </c>
      <c r="M15" s="26">
        <v>20</v>
      </c>
      <c r="N15" s="24">
        <v>79</v>
      </c>
      <c r="O15" s="25">
        <v>117</v>
      </c>
      <c r="P15" s="26">
        <v>6</v>
      </c>
      <c r="Q15" s="24">
        <v>1</v>
      </c>
      <c r="R15" s="25">
        <v>122</v>
      </c>
      <c r="S15" s="26">
        <v>79</v>
      </c>
      <c r="T15" s="27">
        <v>202</v>
      </c>
    </row>
    <row r="16" spans="1:20" x14ac:dyDescent="0.35">
      <c r="A16" s="37" t="str">
        <f t="shared" si="0"/>
        <v>24;2017</v>
      </c>
      <c r="C16" s="35">
        <v>42899</v>
      </c>
      <c r="D16" s="23" t="str">
        <f t="shared" si="1"/>
        <v>Tuesday</v>
      </c>
      <c r="E16" s="156">
        <v>100</v>
      </c>
      <c r="F16" s="136"/>
      <c r="G16" s="133">
        <v>0</v>
      </c>
      <c r="H16" s="136"/>
      <c r="I16" s="133">
        <v>100</v>
      </c>
      <c r="J16" s="134"/>
      <c r="K16" s="24">
        <v>91</v>
      </c>
      <c r="L16" s="25">
        <v>0</v>
      </c>
      <c r="M16" s="26">
        <v>9</v>
      </c>
      <c r="N16" s="24">
        <v>43</v>
      </c>
      <c r="O16" s="25">
        <v>52</v>
      </c>
      <c r="P16" s="26">
        <v>5</v>
      </c>
      <c r="Q16" s="24">
        <v>4</v>
      </c>
      <c r="R16" s="25">
        <v>53</v>
      </c>
      <c r="S16" s="26">
        <v>43</v>
      </c>
      <c r="T16" s="27">
        <v>100</v>
      </c>
    </row>
    <row r="17" spans="1:20" x14ac:dyDescent="0.35">
      <c r="A17" s="37" t="str">
        <f t="shared" si="0"/>
        <v>24;2017</v>
      </c>
      <c r="C17" s="35">
        <v>42900</v>
      </c>
      <c r="D17" s="23" t="str">
        <f t="shared" si="1"/>
        <v>Wednesday</v>
      </c>
      <c r="E17" s="156">
        <v>177</v>
      </c>
      <c r="F17" s="136"/>
      <c r="G17" s="133">
        <v>0</v>
      </c>
      <c r="H17" s="136"/>
      <c r="I17" s="133">
        <v>177</v>
      </c>
      <c r="J17" s="134"/>
      <c r="K17" s="24">
        <v>147</v>
      </c>
      <c r="L17" s="25">
        <v>0</v>
      </c>
      <c r="M17" s="26">
        <v>30</v>
      </c>
      <c r="N17" s="24">
        <v>70</v>
      </c>
      <c r="O17" s="25">
        <v>95</v>
      </c>
      <c r="P17" s="26">
        <v>12</v>
      </c>
      <c r="Q17" s="24">
        <v>6</v>
      </c>
      <c r="R17" s="25">
        <v>99</v>
      </c>
      <c r="S17" s="26">
        <v>72</v>
      </c>
      <c r="T17" s="27">
        <v>177</v>
      </c>
    </row>
    <row r="18" spans="1:20" x14ac:dyDescent="0.35">
      <c r="A18" s="37" t="str">
        <f t="shared" si="0"/>
        <v>24;2017</v>
      </c>
      <c r="C18" s="35">
        <v>42901</v>
      </c>
      <c r="D18" s="23" t="str">
        <f t="shared" si="1"/>
        <v>Thursday</v>
      </c>
      <c r="E18" s="156">
        <v>184</v>
      </c>
      <c r="F18" s="136"/>
      <c r="G18" s="133">
        <v>0</v>
      </c>
      <c r="H18" s="136"/>
      <c r="I18" s="133">
        <v>184</v>
      </c>
      <c r="J18" s="134"/>
      <c r="K18" s="24">
        <v>168</v>
      </c>
      <c r="L18" s="25">
        <v>0</v>
      </c>
      <c r="M18" s="26">
        <v>16</v>
      </c>
      <c r="N18" s="24">
        <v>64</v>
      </c>
      <c r="O18" s="25">
        <v>110</v>
      </c>
      <c r="P18" s="26">
        <v>10</v>
      </c>
      <c r="Q18" s="24">
        <v>3</v>
      </c>
      <c r="R18" s="25">
        <v>117</v>
      </c>
      <c r="S18" s="26">
        <v>64</v>
      </c>
      <c r="T18" s="27">
        <v>184</v>
      </c>
    </row>
    <row r="19" spans="1:20" x14ac:dyDescent="0.35">
      <c r="A19" s="37" t="str">
        <f t="shared" si="0"/>
        <v>24;2017</v>
      </c>
      <c r="C19" s="35">
        <v>42902</v>
      </c>
      <c r="D19" s="23" t="str">
        <f t="shared" si="1"/>
        <v>Friday</v>
      </c>
      <c r="E19" s="156">
        <v>133</v>
      </c>
      <c r="F19" s="136"/>
      <c r="G19" s="133">
        <v>0</v>
      </c>
      <c r="H19" s="136"/>
      <c r="I19" s="133">
        <v>133</v>
      </c>
      <c r="J19" s="134"/>
      <c r="K19" s="24">
        <v>121</v>
      </c>
      <c r="L19" s="25">
        <v>0</v>
      </c>
      <c r="M19" s="26">
        <v>12</v>
      </c>
      <c r="N19" s="24">
        <v>54</v>
      </c>
      <c r="O19" s="25">
        <v>73</v>
      </c>
      <c r="P19" s="26">
        <v>6</v>
      </c>
      <c r="Q19" s="24">
        <v>5</v>
      </c>
      <c r="R19" s="25">
        <v>74</v>
      </c>
      <c r="S19" s="26">
        <v>54</v>
      </c>
      <c r="T19" s="27">
        <v>133</v>
      </c>
    </row>
    <row r="20" spans="1:20" x14ac:dyDescent="0.35">
      <c r="A20" s="37" t="str">
        <f t="shared" si="0"/>
        <v>24;2017</v>
      </c>
      <c r="C20" s="36">
        <v>42903</v>
      </c>
      <c r="D20" s="8" t="str">
        <f t="shared" ref="D20:D21" si="2">TEXT(C20,"dddd")</f>
        <v>Saturday</v>
      </c>
      <c r="E20" s="152"/>
      <c r="F20" s="153"/>
      <c r="G20" s="154"/>
      <c r="H20" s="153"/>
      <c r="I20" s="154"/>
      <c r="J20" s="155"/>
      <c r="K20" s="9"/>
      <c r="L20" s="10"/>
      <c r="M20" s="11"/>
      <c r="N20" s="9"/>
      <c r="O20" s="10"/>
      <c r="P20" s="11"/>
      <c r="Q20" s="9"/>
      <c r="R20" s="10"/>
      <c r="S20" s="11"/>
      <c r="T20" s="12"/>
    </row>
    <row r="21" spans="1:20" x14ac:dyDescent="0.35">
      <c r="A21" s="37" t="str">
        <f t="shared" si="0"/>
        <v>25;2017</v>
      </c>
      <c r="C21" s="36">
        <v>42904</v>
      </c>
      <c r="D21" s="8" t="str">
        <f t="shared" si="2"/>
        <v>Sunday</v>
      </c>
      <c r="E21" s="152"/>
      <c r="F21" s="153"/>
      <c r="G21" s="154"/>
      <c r="H21" s="153"/>
      <c r="I21" s="154"/>
      <c r="J21" s="155"/>
      <c r="K21" s="9"/>
      <c r="L21" s="10"/>
      <c r="M21" s="11"/>
      <c r="N21" s="9"/>
      <c r="O21" s="10"/>
      <c r="P21" s="11"/>
      <c r="Q21" s="9"/>
      <c r="R21" s="10"/>
      <c r="S21" s="11"/>
      <c r="T21" s="12"/>
    </row>
    <row r="22" spans="1:20" x14ac:dyDescent="0.35">
      <c r="A22" s="37" t="str">
        <f t="shared" si="0"/>
        <v>25;2017</v>
      </c>
      <c r="C22" s="34">
        <v>42905</v>
      </c>
      <c r="D22" s="18" t="s">
        <v>44</v>
      </c>
      <c r="E22" s="156">
        <v>89</v>
      </c>
      <c r="F22" s="136"/>
      <c r="G22" s="133">
        <v>0</v>
      </c>
      <c r="H22" s="136"/>
      <c r="I22" s="133">
        <v>89</v>
      </c>
      <c r="J22" s="134"/>
      <c r="K22" s="19">
        <v>84</v>
      </c>
      <c r="L22" s="20">
        <v>0</v>
      </c>
      <c r="M22" s="21">
        <v>5</v>
      </c>
      <c r="N22" s="19">
        <v>38</v>
      </c>
      <c r="O22" s="20">
        <v>49</v>
      </c>
      <c r="P22" s="21">
        <v>2</v>
      </c>
      <c r="Q22" s="19">
        <v>2</v>
      </c>
      <c r="R22" s="20">
        <v>49</v>
      </c>
      <c r="S22" s="21">
        <v>38</v>
      </c>
      <c r="T22" s="22">
        <v>89</v>
      </c>
    </row>
    <row r="23" spans="1:20" x14ac:dyDescent="0.35">
      <c r="A23" s="37" t="str">
        <f t="shared" si="0"/>
        <v>25;2017</v>
      </c>
      <c r="C23" s="35">
        <v>42906</v>
      </c>
      <c r="D23" s="23" t="s">
        <v>45</v>
      </c>
      <c r="E23" s="156">
        <v>17</v>
      </c>
      <c r="F23" s="136"/>
      <c r="G23" s="133">
        <v>0</v>
      </c>
      <c r="H23" s="136"/>
      <c r="I23" s="133">
        <v>17</v>
      </c>
      <c r="J23" s="134"/>
      <c r="K23" s="24">
        <v>17</v>
      </c>
      <c r="L23" s="25">
        <v>0</v>
      </c>
      <c r="M23" s="26">
        <v>0</v>
      </c>
      <c r="N23" s="24">
        <v>6</v>
      </c>
      <c r="O23" s="25">
        <v>11</v>
      </c>
      <c r="P23" s="26">
        <v>0</v>
      </c>
      <c r="Q23" s="24">
        <v>0</v>
      </c>
      <c r="R23" s="25">
        <v>11</v>
      </c>
      <c r="S23" s="26">
        <v>6</v>
      </c>
      <c r="T23" s="27">
        <v>17</v>
      </c>
    </row>
    <row r="24" spans="1:20" x14ac:dyDescent="0.35">
      <c r="A24" s="37" t="str">
        <f t="shared" si="0"/>
        <v>25;2017</v>
      </c>
      <c r="C24" s="35">
        <v>42907</v>
      </c>
      <c r="D24" s="23" t="s">
        <v>46</v>
      </c>
      <c r="E24" s="156">
        <v>123</v>
      </c>
      <c r="F24" s="136"/>
      <c r="G24" s="133">
        <v>0</v>
      </c>
      <c r="H24" s="136"/>
      <c r="I24" s="133">
        <v>123</v>
      </c>
      <c r="J24" s="134"/>
      <c r="K24" s="24">
        <v>114</v>
      </c>
      <c r="L24" s="25">
        <v>0</v>
      </c>
      <c r="M24" s="26">
        <v>9</v>
      </c>
      <c r="N24" s="24">
        <v>46</v>
      </c>
      <c r="O24" s="25">
        <v>71</v>
      </c>
      <c r="P24" s="26">
        <v>6</v>
      </c>
      <c r="Q24" s="24">
        <v>0</v>
      </c>
      <c r="R24" s="25">
        <v>81</v>
      </c>
      <c r="S24" s="26">
        <v>42</v>
      </c>
      <c r="T24" s="27">
        <v>123</v>
      </c>
    </row>
    <row r="25" spans="1:20" x14ac:dyDescent="0.35">
      <c r="A25" s="37" t="str">
        <f t="shared" si="0"/>
        <v>25;2017</v>
      </c>
      <c r="C25" s="35">
        <v>42908</v>
      </c>
      <c r="D25" s="23" t="s">
        <v>47</v>
      </c>
      <c r="E25" s="156">
        <v>161</v>
      </c>
      <c r="F25" s="136"/>
      <c r="G25" s="133">
        <v>0</v>
      </c>
      <c r="H25" s="136"/>
      <c r="I25" s="133">
        <v>161</v>
      </c>
      <c r="J25" s="134"/>
      <c r="K25" s="24">
        <v>150</v>
      </c>
      <c r="L25" s="25">
        <v>0</v>
      </c>
      <c r="M25" s="26">
        <v>11</v>
      </c>
      <c r="N25" s="24">
        <v>61</v>
      </c>
      <c r="O25" s="25">
        <v>90</v>
      </c>
      <c r="P25" s="26">
        <v>10</v>
      </c>
      <c r="Q25" s="24">
        <v>5</v>
      </c>
      <c r="R25" s="25">
        <v>99</v>
      </c>
      <c r="S25" s="26">
        <v>57</v>
      </c>
      <c r="T25" s="27">
        <v>161</v>
      </c>
    </row>
    <row r="26" spans="1:20" x14ac:dyDescent="0.35">
      <c r="A26" s="37" t="str">
        <f t="shared" si="0"/>
        <v>25;2017</v>
      </c>
      <c r="C26" s="35">
        <v>42909</v>
      </c>
      <c r="D26" s="23" t="s">
        <v>48</v>
      </c>
      <c r="E26" s="156">
        <v>73</v>
      </c>
      <c r="F26" s="136"/>
      <c r="G26" s="133">
        <v>0</v>
      </c>
      <c r="H26" s="136"/>
      <c r="I26" s="133">
        <v>73</v>
      </c>
      <c r="J26" s="134"/>
      <c r="K26" s="24">
        <v>62</v>
      </c>
      <c r="L26" s="25">
        <v>0</v>
      </c>
      <c r="M26" s="26">
        <v>11</v>
      </c>
      <c r="N26" s="24">
        <v>30</v>
      </c>
      <c r="O26" s="25">
        <v>39</v>
      </c>
      <c r="P26" s="26">
        <v>4</v>
      </c>
      <c r="Q26" s="24">
        <v>1</v>
      </c>
      <c r="R26" s="25">
        <v>42</v>
      </c>
      <c r="S26" s="26">
        <v>30</v>
      </c>
      <c r="T26" s="27">
        <v>73</v>
      </c>
    </row>
    <row r="27" spans="1:20" x14ac:dyDescent="0.35">
      <c r="A27" s="37" t="str">
        <f t="shared" si="0"/>
        <v>25;2017</v>
      </c>
      <c r="C27" s="36">
        <v>42910</v>
      </c>
      <c r="D27" s="8" t="s">
        <v>49</v>
      </c>
      <c r="E27" s="152"/>
      <c r="F27" s="153"/>
      <c r="G27" s="154"/>
      <c r="H27" s="153"/>
      <c r="I27" s="154"/>
      <c r="J27" s="155"/>
      <c r="K27" s="9"/>
      <c r="L27" s="10"/>
      <c r="M27" s="11"/>
      <c r="N27" s="9"/>
      <c r="O27" s="10"/>
      <c r="P27" s="11"/>
      <c r="Q27" s="9"/>
      <c r="R27" s="10"/>
      <c r="S27" s="11"/>
      <c r="T27" s="12"/>
    </row>
    <row r="28" spans="1:20" x14ac:dyDescent="0.35">
      <c r="A28" s="37" t="str">
        <f t="shared" si="0"/>
        <v>26;2017</v>
      </c>
      <c r="C28" s="36">
        <v>42911</v>
      </c>
      <c r="D28" s="8" t="s">
        <v>50</v>
      </c>
      <c r="E28" s="152"/>
      <c r="F28" s="153"/>
      <c r="G28" s="154"/>
      <c r="H28" s="153"/>
      <c r="I28" s="154"/>
      <c r="J28" s="155"/>
      <c r="K28" s="9"/>
      <c r="L28" s="10"/>
      <c r="M28" s="11"/>
      <c r="N28" s="9"/>
      <c r="O28" s="10"/>
      <c r="P28" s="11"/>
      <c r="Q28" s="9"/>
      <c r="R28" s="10"/>
      <c r="S28" s="11"/>
      <c r="T28" s="12"/>
    </row>
    <row r="29" spans="1:20" x14ac:dyDescent="0.35">
      <c r="A29" s="37" t="str">
        <f t="shared" si="0"/>
        <v>26;2017</v>
      </c>
      <c r="C29" s="35">
        <v>42912</v>
      </c>
      <c r="D29" s="23" t="s">
        <v>44</v>
      </c>
      <c r="E29" s="157">
        <v>202</v>
      </c>
      <c r="F29" s="158"/>
      <c r="G29" s="133">
        <v>0</v>
      </c>
      <c r="H29" s="136"/>
      <c r="I29" s="133">
        <v>202</v>
      </c>
      <c r="J29" s="134"/>
      <c r="K29" s="24">
        <v>182</v>
      </c>
      <c r="L29" s="25">
        <v>0</v>
      </c>
      <c r="M29" s="26">
        <v>20</v>
      </c>
      <c r="N29" s="24">
        <v>79</v>
      </c>
      <c r="O29" s="25">
        <v>117</v>
      </c>
      <c r="P29" s="26">
        <v>6</v>
      </c>
      <c r="Q29" s="24">
        <v>1</v>
      </c>
      <c r="R29" s="25">
        <v>122</v>
      </c>
      <c r="S29" s="26">
        <v>79</v>
      </c>
      <c r="T29" s="27">
        <v>202</v>
      </c>
    </row>
    <row r="30" spans="1:20" x14ac:dyDescent="0.35">
      <c r="A30" s="37" t="str">
        <f t="shared" si="0"/>
        <v>26;2017</v>
      </c>
      <c r="C30" s="35">
        <v>42913</v>
      </c>
      <c r="D30" s="23" t="s">
        <v>45</v>
      </c>
      <c r="E30" s="156">
        <v>100</v>
      </c>
      <c r="F30" s="136"/>
      <c r="G30" s="133">
        <v>0</v>
      </c>
      <c r="H30" s="136"/>
      <c r="I30" s="133">
        <v>100</v>
      </c>
      <c r="J30" s="134"/>
      <c r="K30" s="24">
        <v>91</v>
      </c>
      <c r="L30" s="25">
        <v>0</v>
      </c>
      <c r="M30" s="26">
        <v>9</v>
      </c>
      <c r="N30" s="24">
        <v>43</v>
      </c>
      <c r="O30" s="25">
        <v>52</v>
      </c>
      <c r="P30" s="26">
        <v>5</v>
      </c>
      <c r="Q30" s="24">
        <v>4</v>
      </c>
      <c r="R30" s="25">
        <v>53</v>
      </c>
      <c r="S30" s="26">
        <v>43</v>
      </c>
      <c r="T30" s="27">
        <v>100</v>
      </c>
    </row>
    <row r="31" spans="1:20" x14ac:dyDescent="0.35">
      <c r="A31" s="37" t="str">
        <f t="shared" si="0"/>
        <v>26;2017</v>
      </c>
      <c r="C31" s="35">
        <v>42914</v>
      </c>
      <c r="D31" s="23" t="s">
        <v>46</v>
      </c>
      <c r="E31" s="156">
        <v>177</v>
      </c>
      <c r="F31" s="136"/>
      <c r="G31" s="133">
        <v>0</v>
      </c>
      <c r="H31" s="136"/>
      <c r="I31" s="133">
        <v>177</v>
      </c>
      <c r="J31" s="134"/>
      <c r="K31" s="24">
        <v>147</v>
      </c>
      <c r="L31" s="25">
        <v>0</v>
      </c>
      <c r="M31" s="26">
        <v>30</v>
      </c>
      <c r="N31" s="24">
        <v>70</v>
      </c>
      <c r="O31" s="25">
        <v>95</v>
      </c>
      <c r="P31" s="26">
        <v>12</v>
      </c>
      <c r="Q31" s="24">
        <v>6</v>
      </c>
      <c r="R31" s="25">
        <v>99</v>
      </c>
      <c r="S31" s="26">
        <v>72</v>
      </c>
      <c r="T31" s="27">
        <v>177</v>
      </c>
    </row>
    <row r="32" spans="1:20" x14ac:dyDescent="0.35">
      <c r="A32" s="37" t="str">
        <f t="shared" si="0"/>
        <v>26;2017</v>
      </c>
      <c r="C32" s="35">
        <v>42915</v>
      </c>
      <c r="D32" s="23" t="s">
        <v>47</v>
      </c>
      <c r="E32" s="156">
        <v>184</v>
      </c>
      <c r="F32" s="136"/>
      <c r="G32" s="133">
        <v>0</v>
      </c>
      <c r="H32" s="136"/>
      <c r="I32" s="133">
        <v>184</v>
      </c>
      <c r="J32" s="134"/>
      <c r="K32" s="24">
        <v>168</v>
      </c>
      <c r="L32" s="25">
        <v>0</v>
      </c>
      <c r="M32" s="26">
        <v>16</v>
      </c>
      <c r="N32" s="24">
        <v>64</v>
      </c>
      <c r="O32" s="25">
        <v>110</v>
      </c>
      <c r="P32" s="26">
        <v>10</v>
      </c>
      <c r="Q32" s="24">
        <v>3</v>
      </c>
      <c r="R32" s="25">
        <v>117</v>
      </c>
      <c r="S32" s="26">
        <v>64</v>
      </c>
      <c r="T32" s="27">
        <v>184</v>
      </c>
    </row>
    <row r="33" spans="1:20" x14ac:dyDescent="0.35">
      <c r="A33" s="37" t="str">
        <f t="shared" si="0"/>
        <v>26;2017</v>
      </c>
      <c r="C33" s="35">
        <v>42916</v>
      </c>
      <c r="D33" s="23" t="s">
        <v>48</v>
      </c>
      <c r="E33" s="156">
        <v>133</v>
      </c>
      <c r="F33" s="136"/>
      <c r="G33" s="133">
        <v>0</v>
      </c>
      <c r="H33" s="136"/>
      <c r="I33" s="133">
        <v>133</v>
      </c>
      <c r="J33" s="134"/>
      <c r="K33" s="24">
        <v>121</v>
      </c>
      <c r="L33" s="25">
        <v>0</v>
      </c>
      <c r="M33" s="26">
        <v>12</v>
      </c>
      <c r="N33" s="24">
        <v>54</v>
      </c>
      <c r="O33" s="25">
        <v>73</v>
      </c>
      <c r="P33" s="26">
        <v>6</v>
      </c>
      <c r="Q33" s="24">
        <v>5</v>
      </c>
      <c r="R33" s="25">
        <v>74</v>
      </c>
      <c r="S33" s="26">
        <v>54</v>
      </c>
      <c r="T33" s="27">
        <v>133</v>
      </c>
    </row>
    <row r="34" spans="1:20" x14ac:dyDescent="0.35">
      <c r="A34" s="37" t="str">
        <f t="shared" si="0"/>
        <v>26;2017</v>
      </c>
      <c r="C34" s="36">
        <v>42917</v>
      </c>
      <c r="D34" s="8" t="s">
        <v>49</v>
      </c>
      <c r="E34" s="152"/>
      <c r="F34" s="153"/>
      <c r="G34" s="154"/>
      <c r="H34" s="153"/>
      <c r="I34" s="154"/>
      <c r="J34" s="155"/>
      <c r="K34" s="9"/>
      <c r="L34" s="10"/>
      <c r="M34" s="11"/>
      <c r="N34" s="9"/>
      <c r="O34" s="10"/>
      <c r="P34" s="11"/>
      <c r="Q34" s="9"/>
      <c r="R34" s="10"/>
      <c r="S34" s="11"/>
      <c r="T34" s="12"/>
    </row>
    <row r="35" spans="1:20" x14ac:dyDescent="0.35">
      <c r="A35" s="37" t="str">
        <f t="shared" si="0"/>
        <v>27;2017</v>
      </c>
      <c r="C35" s="36">
        <v>42918</v>
      </c>
      <c r="D35" s="8" t="s">
        <v>50</v>
      </c>
      <c r="E35" s="152"/>
      <c r="F35" s="153"/>
      <c r="G35" s="154"/>
      <c r="H35" s="153"/>
      <c r="I35" s="154"/>
      <c r="J35" s="155"/>
      <c r="K35" s="9"/>
      <c r="L35" s="10"/>
      <c r="M35" s="11"/>
      <c r="N35" s="9"/>
      <c r="O35" s="10"/>
      <c r="P35" s="11"/>
      <c r="Q35" s="9"/>
      <c r="R35" s="10"/>
      <c r="S35" s="11"/>
      <c r="T35" s="12"/>
    </row>
    <row r="36" spans="1:20" x14ac:dyDescent="0.35">
      <c r="A36" s="37" t="str">
        <f t="shared" si="0"/>
        <v>27;2017</v>
      </c>
      <c r="C36" s="34">
        <v>42919</v>
      </c>
      <c r="D36" s="18" t="s">
        <v>44</v>
      </c>
      <c r="E36" s="156">
        <v>89</v>
      </c>
      <c r="F36" s="136"/>
      <c r="G36" s="133">
        <v>0</v>
      </c>
      <c r="H36" s="136"/>
      <c r="I36" s="133">
        <v>89</v>
      </c>
      <c r="J36" s="134"/>
      <c r="K36" s="19">
        <v>84</v>
      </c>
      <c r="L36" s="20">
        <v>0</v>
      </c>
      <c r="M36" s="21">
        <v>5</v>
      </c>
      <c r="N36" s="19">
        <v>38</v>
      </c>
      <c r="O36" s="20">
        <v>49</v>
      </c>
      <c r="P36" s="21">
        <v>2</v>
      </c>
      <c r="Q36" s="19">
        <v>2</v>
      </c>
      <c r="R36" s="20">
        <v>49</v>
      </c>
      <c r="S36" s="21">
        <v>38</v>
      </c>
      <c r="T36" s="22">
        <v>89</v>
      </c>
    </row>
    <row r="37" spans="1:20" x14ac:dyDescent="0.35">
      <c r="A37" s="37" t="str">
        <f t="shared" si="0"/>
        <v>27;2017</v>
      </c>
      <c r="C37" s="35">
        <v>42920</v>
      </c>
      <c r="D37" s="23" t="s">
        <v>45</v>
      </c>
      <c r="E37" s="156">
        <v>17</v>
      </c>
      <c r="F37" s="136"/>
      <c r="G37" s="133">
        <v>0</v>
      </c>
      <c r="H37" s="136"/>
      <c r="I37" s="133">
        <v>17</v>
      </c>
      <c r="J37" s="134"/>
      <c r="K37" s="24">
        <v>17</v>
      </c>
      <c r="L37" s="25">
        <v>0</v>
      </c>
      <c r="M37" s="26">
        <v>0</v>
      </c>
      <c r="N37" s="24">
        <v>6</v>
      </c>
      <c r="O37" s="25">
        <v>11</v>
      </c>
      <c r="P37" s="26">
        <v>0</v>
      </c>
      <c r="Q37" s="24">
        <v>0</v>
      </c>
      <c r="R37" s="25">
        <v>11</v>
      </c>
      <c r="S37" s="26">
        <v>6</v>
      </c>
      <c r="T37" s="27">
        <v>17</v>
      </c>
    </row>
    <row r="38" spans="1:20" x14ac:dyDescent="0.35">
      <c r="A38" s="37" t="str">
        <f t="shared" si="0"/>
        <v>27;2017</v>
      </c>
      <c r="C38" s="35">
        <v>42921</v>
      </c>
      <c r="D38" s="23" t="s">
        <v>46</v>
      </c>
      <c r="E38" s="156">
        <v>123</v>
      </c>
      <c r="F38" s="136"/>
      <c r="G38" s="133">
        <v>0</v>
      </c>
      <c r="H38" s="136"/>
      <c r="I38" s="133">
        <v>123</v>
      </c>
      <c r="J38" s="134"/>
      <c r="K38" s="24">
        <v>114</v>
      </c>
      <c r="L38" s="25">
        <v>0</v>
      </c>
      <c r="M38" s="26">
        <v>9</v>
      </c>
      <c r="N38" s="24">
        <v>46</v>
      </c>
      <c r="O38" s="25">
        <v>71</v>
      </c>
      <c r="P38" s="26">
        <v>6</v>
      </c>
      <c r="Q38" s="24">
        <v>0</v>
      </c>
      <c r="R38" s="25">
        <v>81</v>
      </c>
      <c r="S38" s="26">
        <v>42</v>
      </c>
      <c r="T38" s="27">
        <v>123</v>
      </c>
    </row>
    <row r="39" spans="1:20" x14ac:dyDescent="0.35">
      <c r="A39" s="37" t="str">
        <f t="shared" si="0"/>
        <v>27;2017</v>
      </c>
      <c r="C39" s="35">
        <v>42922</v>
      </c>
      <c r="D39" s="23" t="s">
        <v>47</v>
      </c>
      <c r="E39" s="156">
        <v>161</v>
      </c>
      <c r="F39" s="136"/>
      <c r="G39" s="133">
        <v>0</v>
      </c>
      <c r="H39" s="136"/>
      <c r="I39" s="133">
        <v>161</v>
      </c>
      <c r="J39" s="134"/>
      <c r="K39" s="24">
        <v>150</v>
      </c>
      <c r="L39" s="25">
        <v>0</v>
      </c>
      <c r="M39" s="26">
        <v>11</v>
      </c>
      <c r="N39" s="24">
        <v>61</v>
      </c>
      <c r="O39" s="25">
        <v>90</v>
      </c>
      <c r="P39" s="26">
        <v>10</v>
      </c>
      <c r="Q39" s="24">
        <v>5</v>
      </c>
      <c r="R39" s="25">
        <v>99</v>
      </c>
      <c r="S39" s="26">
        <v>57</v>
      </c>
      <c r="T39" s="27">
        <v>161</v>
      </c>
    </row>
    <row r="40" spans="1:20" x14ac:dyDescent="0.35">
      <c r="A40" s="37" t="str">
        <f t="shared" si="0"/>
        <v>27;2017</v>
      </c>
      <c r="C40" s="35">
        <v>42923</v>
      </c>
      <c r="D40" s="23" t="s">
        <v>48</v>
      </c>
      <c r="E40" s="156">
        <v>73</v>
      </c>
      <c r="F40" s="136"/>
      <c r="G40" s="133">
        <v>0</v>
      </c>
      <c r="H40" s="136"/>
      <c r="I40" s="133">
        <v>73</v>
      </c>
      <c r="J40" s="134"/>
      <c r="K40" s="24">
        <v>62</v>
      </c>
      <c r="L40" s="25">
        <v>0</v>
      </c>
      <c r="M40" s="26">
        <v>11</v>
      </c>
      <c r="N40" s="24">
        <v>30</v>
      </c>
      <c r="O40" s="25">
        <v>39</v>
      </c>
      <c r="P40" s="26">
        <v>4</v>
      </c>
      <c r="Q40" s="24">
        <v>1</v>
      </c>
      <c r="R40" s="25">
        <v>42</v>
      </c>
      <c r="S40" s="26">
        <v>30</v>
      </c>
      <c r="T40" s="27">
        <v>73</v>
      </c>
    </row>
    <row r="41" spans="1:20" x14ac:dyDescent="0.35">
      <c r="A41" s="37" t="str">
        <f t="shared" si="0"/>
        <v>27;2017</v>
      </c>
      <c r="C41" s="36">
        <v>42924</v>
      </c>
      <c r="D41" s="8" t="s">
        <v>49</v>
      </c>
      <c r="E41" s="152"/>
      <c r="F41" s="153"/>
      <c r="G41" s="154"/>
      <c r="H41" s="153"/>
      <c r="I41" s="154"/>
      <c r="J41" s="155"/>
      <c r="K41" s="9"/>
      <c r="L41" s="10"/>
      <c r="M41" s="11"/>
      <c r="N41" s="9"/>
      <c r="O41" s="10"/>
      <c r="P41" s="11"/>
      <c r="Q41" s="9"/>
      <c r="R41" s="10"/>
      <c r="S41" s="11"/>
      <c r="T41" s="12"/>
    </row>
    <row r="42" spans="1:20" x14ac:dyDescent="0.35">
      <c r="A42" s="37" t="str">
        <f t="shared" si="0"/>
        <v>28;2017</v>
      </c>
      <c r="C42" s="36">
        <v>42925</v>
      </c>
      <c r="D42" s="8" t="s">
        <v>50</v>
      </c>
      <c r="E42" s="152"/>
      <c r="F42" s="153"/>
      <c r="G42" s="154"/>
      <c r="H42" s="153"/>
      <c r="I42" s="154"/>
      <c r="J42" s="155"/>
      <c r="K42" s="9"/>
      <c r="L42" s="10"/>
      <c r="M42" s="11"/>
      <c r="N42" s="9"/>
      <c r="O42" s="10"/>
      <c r="P42" s="11"/>
      <c r="Q42" s="9"/>
      <c r="R42" s="10"/>
      <c r="S42" s="11"/>
      <c r="T42" s="12"/>
    </row>
    <row r="43" spans="1:20" x14ac:dyDescent="0.35">
      <c r="A43" s="37" t="str">
        <f t="shared" si="0"/>
        <v>28;2017</v>
      </c>
      <c r="C43" s="35">
        <v>42926</v>
      </c>
      <c r="D43" s="23" t="s">
        <v>44</v>
      </c>
      <c r="E43" s="157">
        <v>202</v>
      </c>
      <c r="F43" s="158"/>
      <c r="G43" s="133">
        <v>0</v>
      </c>
      <c r="H43" s="136"/>
      <c r="I43" s="133">
        <v>202</v>
      </c>
      <c r="J43" s="134"/>
      <c r="K43" s="24">
        <v>182</v>
      </c>
      <c r="L43" s="25">
        <v>0</v>
      </c>
      <c r="M43" s="26">
        <v>20</v>
      </c>
      <c r="N43" s="24">
        <v>79</v>
      </c>
      <c r="O43" s="25">
        <v>117</v>
      </c>
      <c r="P43" s="26">
        <v>6</v>
      </c>
      <c r="Q43" s="24">
        <v>1</v>
      </c>
      <c r="R43" s="25">
        <v>122</v>
      </c>
      <c r="S43" s="26">
        <v>79</v>
      </c>
      <c r="T43" s="27">
        <v>202</v>
      </c>
    </row>
    <row r="44" spans="1:20" x14ac:dyDescent="0.35">
      <c r="A44" s="37" t="str">
        <f t="shared" si="0"/>
        <v>28;2017</v>
      </c>
      <c r="C44" s="35">
        <v>42927</v>
      </c>
      <c r="D44" s="23" t="s">
        <v>45</v>
      </c>
      <c r="E44" s="156">
        <v>100</v>
      </c>
      <c r="F44" s="136"/>
      <c r="G44" s="133">
        <v>0</v>
      </c>
      <c r="H44" s="136"/>
      <c r="I44" s="133">
        <v>100</v>
      </c>
      <c r="J44" s="134"/>
      <c r="K44" s="24">
        <v>91</v>
      </c>
      <c r="L44" s="25">
        <v>0</v>
      </c>
      <c r="M44" s="26">
        <v>9</v>
      </c>
      <c r="N44" s="24">
        <v>43</v>
      </c>
      <c r="O44" s="25">
        <v>52</v>
      </c>
      <c r="P44" s="26">
        <v>5</v>
      </c>
      <c r="Q44" s="24">
        <v>4</v>
      </c>
      <c r="R44" s="25">
        <v>53</v>
      </c>
      <c r="S44" s="26">
        <v>43</v>
      </c>
      <c r="T44" s="27">
        <v>100</v>
      </c>
    </row>
    <row r="45" spans="1:20" x14ac:dyDescent="0.35">
      <c r="A45" s="37" t="str">
        <f t="shared" si="0"/>
        <v>28;2017</v>
      </c>
      <c r="C45" s="35">
        <v>42928</v>
      </c>
      <c r="D45" s="23" t="s">
        <v>46</v>
      </c>
      <c r="E45" s="156">
        <v>177</v>
      </c>
      <c r="F45" s="136"/>
      <c r="G45" s="133">
        <v>0</v>
      </c>
      <c r="H45" s="136"/>
      <c r="I45" s="133">
        <v>177</v>
      </c>
      <c r="J45" s="134"/>
      <c r="K45" s="24">
        <v>147</v>
      </c>
      <c r="L45" s="25">
        <v>0</v>
      </c>
      <c r="M45" s="26">
        <v>30</v>
      </c>
      <c r="N45" s="24">
        <v>70</v>
      </c>
      <c r="O45" s="25">
        <v>95</v>
      </c>
      <c r="P45" s="26">
        <v>12</v>
      </c>
      <c r="Q45" s="24">
        <v>6</v>
      </c>
      <c r="R45" s="25">
        <v>99</v>
      </c>
      <c r="S45" s="26">
        <v>72</v>
      </c>
      <c r="T45" s="27">
        <v>177</v>
      </c>
    </row>
    <row r="46" spans="1:20" x14ac:dyDescent="0.35">
      <c r="A46" s="37" t="str">
        <f t="shared" si="0"/>
        <v>28;2017</v>
      </c>
      <c r="C46" s="35">
        <v>42929</v>
      </c>
      <c r="D46" s="23" t="s">
        <v>47</v>
      </c>
      <c r="E46" s="156">
        <v>184</v>
      </c>
      <c r="F46" s="136"/>
      <c r="G46" s="133">
        <v>0</v>
      </c>
      <c r="H46" s="136"/>
      <c r="I46" s="133">
        <v>184</v>
      </c>
      <c r="J46" s="134"/>
      <c r="K46" s="24">
        <v>168</v>
      </c>
      <c r="L46" s="25">
        <v>0</v>
      </c>
      <c r="M46" s="26">
        <v>16</v>
      </c>
      <c r="N46" s="24">
        <v>64</v>
      </c>
      <c r="O46" s="25">
        <v>110</v>
      </c>
      <c r="P46" s="26">
        <v>10</v>
      </c>
      <c r="Q46" s="24">
        <v>3</v>
      </c>
      <c r="R46" s="25">
        <v>117</v>
      </c>
      <c r="S46" s="26">
        <v>64</v>
      </c>
      <c r="T46" s="27">
        <v>184</v>
      </c>
    </row>
    <row r="47" spans="1:20" x14ac:dyDescent="0.35">
      <c r="A47" s="37" t="str">
        <f t="shared" si="0"/>
        <v>28;2017</v>
      </c>
      <c r="C47" s="35">
        <v>42930</v>
      </c>
      <c r="D47" s="23" t="s">
        <v>48</v>
      </c>
      <c r="E47" s="156">
        <v>133</v>
      </c>
      <c r="F47" s="136"/>
      <c r="G47" s="133">
        <v>0</v>
      </c>
      <c r="H47" s="136"/>
      <c r="I47" s="133">
        <v>133</v>
      </c>
      <c r="J47" s="134"/>
      <c r="K47" s="24">
        <v>121</v>
      </c>
      <c r="L47" s="25">
        <v>0</v>
      </c>
      <c r="M47" s="26">
        <v>12</v>
      </c>
      <c r="N47" s="24">
        <v>54</v>
      </c>
      <c r="O47" s="25">
        <v>73</v>
      </c>
      <c r="P47" s="26">
        <v>6</v>
      </c>
      <c r="Q47" s="24">
        <v>5</v>
      </c>
      <c r="R47" s="25">
        <v>74</v>
      </c>
      <c r="S47" s="26">
        <v>54</v>
      </c>
      <c r="T47" s="27">
        <v>133</v>
      </c>
    </row>
    <row r="48" spans="1:20" x14ac:dyDescent="0.35">
      <c r="A48" s="37" t="str">
        <f t="shared" si="0"/>
        <v>28;2017</v>
      </c>
      <c r="C48" s="36">
        <v>42931</v>
      </c>
      <c r="D48" s="8" t="s">
        <v>49</v>
      </c>
      <c r="E48" s="152"/>
      <c r="F48" s="153"/>
      <c r="G48" s="154"/>
      <c r="H48" s="153"/>
      <c r="I48" s="154"/>
      <c r="J48" s="155"/>
      <c r="K48" s="9"/>
      <c r="L48" s="10"/>
      <c r="M48" s="11"/>
      <c r="N48" s="9"/>
      <c r="O48" s="10"/>
      <c r="P48" s="11"/>
      <c r="Q48" s="9"/>
      <c r="R48" s="10"/>
      <c r="S48" s="11"/>
      <c r="T48" s="12"/>
    </row>
    <row r="49" spans="1:20" x14ac:dyDescent="0.35">
      <c r="A49" s="37" t="str">
        <f t="shared" si="0"/>
        <v>29;2017</v>
      </c>
      <c r="C49" s="36">
        <v>42932</v>
      </c>
      <c r="D49" s="8" t="s">
        <v>50</v>
      </c>
      <c r="E49" s="152"/>
      <c r="F49" s="153"/>
      <c r="G49" s="154"/>
      <c r="H49" s="153"/>
      <c r="I49" s="154"/>
      <c r="J49" s="155"/>
      <c r="K49" s="9"/>
      <c r="L49" s="10"/>
      <c r="M49" s="11"/>
      <c r="N49" s="9"/>
      <c r="O49" s="10"/>
      <c r="P49" s="11"/>
      <c r="Q49" s="9"/>
      <c r="R49" s="10"/>
      <c r="S49" s="11"/>
      <c r="T49" s="12"/>
    </row>
    <row r="50" spans="1:20" x14ac:dyDescent="0.35">
      <c r="A50" s="37" t="str">
        <f t="shared" si="0"/>
        <v>29;2017</v>
      </c>
      <c r="C50" s="34">
        <v>42933</v>
      </c>
      <c r="D50" s="18" t="s">
        <v>44</v>
      </c>
      <c r="E50" s="156">
        <v>89</v>
      </c>
      <c r="F50" s="136"/>
      <c r="G50" s="133">
        <v>0</v>
      </c>
      <c r="H50" s="136"/>
      <c r="I50" s="133">
        <v>89</v>
      </c>
      <c r="J50" s="134"/>
      <c r="K50" s="19">
        <v>84</v>
      </c>
      <c r="L50" s="20">
        <v>0</v>
      </c>
      <c r="M50" s="21">
        <v>5</v>
      </c>
      <c r="N50" s="19">
        <v>38</v>
      </c>
      <c r="O50" s="20">
        <v>49</v>
      </c>
      <c r="P50" s="21">
        <v>2</v>
      </c>
      <c r="Q50" s="19">
        <v>2</v>
      </c>
      <c r="R50" s="20">
        <v>49</v>
      </c>
      <c r="S50" s="21">
        <v>38</v>
      </c>
      <c r="T50" s="22">
        <v>89</v>
      </c>
    </row>
    <row r="51" spans="1:20" x14ac:dyDescent="0.35">
      <c r="A51" s="37" t="str">
        <f t="shared" si="0"/>
        <v>29;2017</v>
      </c>
      <c r="C51" s="35">
        <v>42934</v>
      </c>
      <c r="D51" s="23" t="s">
        <v>45</v>
      </c>
      <c r="E51" s="156">
        <v>17</v>
      </c>
      <c r="F51" s="136"/>
      <c r="G51" s="133">
        <v>0</v>
      </c>
      <c r="H51" s="136"/>
      <c r="I51" s="133">
        <v>17</v>
      </c>
      <c r="J51" s="134"/>
      <c r="K51" s="24">
        <v>17</v>
      </c>
      <c r="L51" s="25">
        <v>0</v>
      </c>
      <c r="M51" s="26">
        <v>0</v>
      </c>
      <c r="N51" s="24">
        <v>6</v>
      </c>
      <c r="O51" s="25">
        <v>11</v>
      </c>
      <c r="P51" s="26">
        <v>0</v>
      </c>
      <c r="Q51" s="24">
        <v>0</v>
      </c>
      <c r="R51" s="25">
        <v>11</v>
      </c>
      <c r="S51" s="26">
        <v>6</v>
      </c>
      <c r="T51" s="27">
        <v>17</v>
      </c>
    </row>
    <row r="52" spans="1:20" x14ac:dyDescent="0.35">
      <c r="A52" s="37" t="str">
        <f t="shared" si="0"/>
        <v>29;2017</v>
      </c>
      <c r="C52" s="35">
        <v>42935</v>
      </c>
      <c r="D52" s="23" t="s">
        <v>46</v>
      </c>
      <c r="E52" s="156">
        <v>123</v>
      </c>
      <c r="F52" s="136"/>
      <c r="G52" s="133">
        <v>0</v>
      </c>
      <c r="H52" s="136"/>
      <c r="I52" s="133">
        <v>123</v>
      </c>
      <c r="J52" s="134"/>
      <c r="K52" s="24">
        <v>114</v>
      </c>
      <c r="L52" s="25">
        <v>0</v>
      </c>
      <c r="M52" s="26">
        <v>9</v>
      </c>
      <c r="N52" s="24">
        <v>46</v>
      </c>
      <c r="O52" s="25">
        <v>71</v>
      </c>
      <c r="P52" s="26">
        <v>6</v>
      </c>
      <c r="Q52" s="24">
        <v>0</v>
      </c>
      <c r="R52" s="25">
        <v>81</v>
      </c>
      <c r="S52" s="26">
        <v>42</v>
      </c>
      <c r="T52" s="27">
        <v>123</v>
      </c>
    </row>
    <row r="53" spans="1:20" x14ac:dyDescent="0.35">
      <c r="A53" s="37" t="str">
        <f t="shared" si="0"/>
        <v>29;2017</v>
      </c>
      <c r="C53" s="35">
        <v>42936</v>
      </c>
      <c r="D53" s="23" t="s">
        <v>47</v>
      </c>
      <c r="E53" s="156">
        <v>161</v>
      </c>
      <c r="F53" s="136"/>
      <c r="G53" s="133">
        <v>0</v>
      </c>
      <c r="H53" s="136"/>
      <c r="I53" s="133">
        <v>161</v>
      </c>
      <c r="J53" s="134"/>
      <c r="K53" s="24">
        <v>150</v>
      </c>
      <c r="L53" s="25">
        <v>0</v>
      </c>
      <c r="M53" s="26">
        <v>11</v>
      </c>
      <c r="N53" s="24">
        <v>61</v>
      </c>
      <c r="O53" s="25">
        <v>90</v>
      </c>
      <c r="P53" s="26">
        <v>10</v>
      </c>
      <c r="Q53" s="24">
        <v>5</v>
      </c>
      <c r="R53" s="25">
        <v>99</v>
      </c>
      <c r="S53" s="26">
        <v>57</v>
      </c>
      <c r="T53" s="27">
        <v>161</v>
      </c>
    </row>
    <row r="54" spans="1:20" x14ac:dyDescent="0.35">
      <c r="A54" s="37" t="str">
        <f t="shared" si="0"/>
        <v>29;2017</v>
      </c>
      <c r="C54" s="35">
        <v>42937</v>
      </c>
      <c r="D54" s="23" t="s">
        <v>48</v>
      </c>
      <c r="E54" s="156">
        <v>73</v>
      </c>
      <c r="F54" s="136"/>
      <c r="G54" s="133">
        <v>0</v>
      </c>
      <c r="H54" s="136"/>
      <c r="I54" s="133">
        <v>73</v>
      </c>
      <c r="J54" s="134"/>
      <c r="K54" s="24">
        <v>62</v>
      </c>
      <c r="L54" s="25">
        <v>0</v>
      </c>
      <c r="M54" s="26">
        <v>11</v>
      </c>
      <c r="N54" s="24">
        <v>30</v>
      </c>
      <c r="O54" s="25">
        <v>39</v>
      </c>
      <c r="P54" s="26">
        <v>4</v>
      </c>
      <c r="Q54" s="24">
        <v>1</v>
      </c>
      <c r="R54" s="25">
        <v>42</v>
      </c>
      <c r="S54" s="26">
        <v>30</v>
      </c>
      <c r="T54" s="27">
        <v>73</v>
      </c>
    </row>
    <row r="55" spans="1:20" x14ac:dyDescent="0.35">
      <c r="A55" s="37" t="str">
        <f t="shared" si="0"/>
        <v>29;2017</v>
      </c>
      <c r="C55" s="36">
        <v>42938</v>
      </c>
      <c r="D55" s="8" t="s">
        <v>49</v>
      </c>
      <c r="E55" s="152"/>
      <c r="F55" s="153"/>
      <c r="G55" s="154"/>
      <c r="H55" s="153"/>
      <c r="I55" s="154"/>
      <c r="J55" s="155"/>
      <c r="K55" s="9"/>
      <c r="L55" s="10"/>
      <c r="M55" s="11"/>
      <c r="N55" s="9"/>
      <c r="O55" s="10"/>
      <c r="P55" s="11"/>
      <c r="Q55" s="9"/>
      <c r="R55" s="10"/>
      <c r="S55" s="11"/>
      <c r="T55" s="12"/>
    </row>
    <row r="56" spans="1:20" x14ac:dyDescent="0.35">
      <c r="A56" s="37" t="str">
        <f t="shared" si="0"/>
        <v>30;2017</v>
      </c>
      <c r="C56" s="36">
        <v>42939</v>
      </c>
      <c r="D56" s="8" t="s">
        <v>50</v>
      </c>
      <c r="E56" s="152"/>
      <c r="F56" s="153"/>
      <c r="G56" s="154"/>
      <c r="H56" s="153"/>
      <c r="I56" s="154"/>
      <c r="J56" s="155"/>
      <c r="K56" s="9"/>
      <c r="L56" s="10"/>
      <c r="M56" s="11"/>
      <c r="N56" s="9"/>
      <c r="O56" s="10"/>
      <c r="P56" s="11"/>
      <c r="Q56" s="9"/>
      <c r="R56" s="10"/>
      <c r="S56" s="11"/>
      <c r="T56" s="12"/>
    </row>
    <row r="57" spans="1:20" x14ac:dyDescent="0.35">
      <c r="A57" s="37" t="str">
        <f t="shared" si="0"/>
        <v>30;2017</v>
      </c>
      <c r="C57" s="35">
        <v>42940</v>
      </c>
      <c r="D57" s="23" t="s">
        <v>44</v>
      </c>
      <c r="E57" s="157">
        <v>202</v>
      </c>
      <c r="F57" s="158"/>
      <c r="G57" s="133">
        <v>0</v>
      </c>
      <c r="H57" s="136"/>
      <c r="I57" s="133">
        <v>202</v>
      </c>
      <c r="J57" s="134"/>
      <c r="K57" s="24">
        <v>182</v>
      </c>
      <c r="L57" s="25">
        <v>0</v>
      </c>
      <c r="M57" s="26">
        <v>20</v>
      </c>
      <c r="N57" s="24">
        <v>79</v>
      </c>
      <c r="O57" s="25">
        <v>117</v>
      </c>
      <c r="P57" s="26">
        <v>6</v>
      </c>
      <c r="Q57" s="24">
        <v>1</v>
      </c>
      <c r="R57" s="25">
        <v>122</v>
      </c>
      <c r="S57" s="26">
        <v>79</v>
      </c>
      <c r="T57" s="27">
        <v>202</v>
      </c>
    </row>
    <row r="58" spans="1:20" x14ac:dyDescent="0.35">
      <c r="A58" s="37" t="str">
        <f t="shared" si="0"/>
        <v>30;2017</v>
      </c>
      <c r="C58" s="35">
        <v>42941</v>
      </c>
      <c r="D58" s="23" t="s">
        <v>45</v>
      </c>
      <c r="E58" s="156">
        <v>100</v>
      </c>
      <c r="F58" s="136"/>
      <c r="G58" s="133">
        <v>0</v>
      </c>
      <c r="H58" s="136"/>
      <c r="I58" s="133">
        <v>100</v>
      </c>
      <c r="J58" s="134"/>
      <c r="K58" s="24">
        <v>91</v>
      </c>
      <c r="L58" s="25">
        <v>0</v>
      </c>
      <c r="M58" s="26">
        <v>9</v>
      </c>
      <c r="N58" s="24">
        <v>43</v>
      </c>
      <c r="O58" s="25">
        <v>52</v>
      </c>
      <c r="P58" s="26">
        <v>5</v>
      </c>
      <c r="Q58" s="24">
        <v>4</v>
      </c>
      <c r="R58" s="25">
        <v>53</v>
      </c>
      <c r="S58" s="26">
        <v>43</v>
      </c>
      <c r="T58" s="27">
        <v>100</v>
      </c>
    </row>
    <row r="59" spans="1:20" x14ac:dyDescent="0.35">
      <c r="A59" s="37" t="str">
        <f t="shared" si="0"/>
        <v>30;2017</v>
      </c>
      <c r="C59" s="35">
        <v>42942</v>
      </c>
      <c r="D59" s="23" t="s">
        <v>46</v>
      </c>
      <c r="E59" s="156">
        <v>177</v>
      </c>
      <c r="F59" s="136"/>
      <c r="G59" s="133">
        <v>0</v>
      </c>
      <c r="H59" s="136"/>
      <c r="I59" s="133">
        <v>177</v>
      </c>
      <c r="J59" s="134"/>
      <c r="K59" s="24">
        <v>147</v>
      </c>
      <c r="L59" s="25">
        <v>0</v>
      </c>
      <c r="M59" s="26">
        <v>30</v>
      </c>
      <c r="N59" s="24">
        <v>70</v>
      </c>
      <c r="O59" s="25">
        <v>95</v>
      </c>
      <c r="P59" s="26">
        <v>12</v>
      </c>
      <c r="Q59" s="24">
        <v>6</v>
      </c>
      <c r="R59" s="25">
        <v>99</v>
      </c>
      <c r="S59" s="26">
        <v>72</v>
      </c>
      <c r="T59" s="27">
        <v>177</v>
      </c>
    </row>
    <row r="60" spans="1:20" x14ac:dyDescent="0.35">
      <c r="A60" s="37" t="str">
        <f t="shared" si="0"/>
        <v>30;2017</v>
      </c>
      <c r="C60" s="35">
        <v>42943</v>
      </c>
      <c r="D60" s="23" t="s">
        <v>47</v>
      </c>
      <c r="E60" s="156">
        <v>184</v>
      </c>
      <c r="F60" s="136"/>
      <c r="G60" s="133">
        <v>0</v>
      </c>
      <c r="H60" s="136"/>
      <c r="I60" s="133">
        <v>184</v>
      </c>
      <c r="J60" s="134"/>
      <c r="K60" s="24">
        <v>168</v>
      </c>
      <c r="L60" s="25">
        <v>0</v>
      </c>
      <c r="M60" s="26">
        <v>16</v>
      </c>
      <c r="N60" s="24">
        <v>64</v>
      </c>
      <c r="O60" s="25">
        <v>110</v>
      </c>
      <c r="P60" s="26">
        <v>10</v>
      </c>
      <c r="Q60" s="24">
        <v>3</v>
      </c>
      <c r="R60" s="25">
        <v>117</v>
      </c>
      <c r="S60" s="26">
        <v>64</v>
      </c>
      <c r="T60" s="27">
        <v>184</v>
      </c>
    </row>
    <row r="61" spans="1:20" x14ac:dyDescent="0.35">
      <c r="A61" s="37" t="str">
        <f t="shared" si="0"/>
        <v>30;2017</v>
      </c>
      <c r="C61" s="35">
        <v>42944</v>
      </c>
      <c r="D61" s="23" t="s">
        <v>48</v>
      </c>
      <c r="E61" s="156">
        <v>133</v>
      </c>
      <c r="F61" s="136"/>
      <c r="G61" s="133">
        <v>0</v>
      </c>
      <c r="H61" s="136"/>
      <c r="I61" s="133">
        <v>133</v>
      </c>
      <c r="J61" s="134"/>
      <c r="K61" s="24">
        <v>121</v>
      </c>
      <c r="L61" s="25">
        <v>0</v>
      </c>
      <c r="M61" s="26">
        <v>12</v>
      </c>
      <c r="N61" s="24">
        <v>54</v>
      </c>
      <c r="O61" s="25">
        <v>73</v>
      </c>
      <c r="P61" s="26">
        <v>6</v>
      </c>
      <c r="Q61" s="24">
        <v>5</v>
      </c>
      <c r="R61" s="25">
        <v>74</v>
      </c>
      <c r="S61" s="26">
        <v>54</v>
      </c>
      <c r="T61" s="27">
        <v>133</v>
      </c>
    </row>
    <row r="62" spans="1:20" x14ac:dyDescent="0.35">
      <c r="A62" s="37" t="str">
        <f t="shared" si="0"/>
        <v>30;2017</v>
      </c>
      <c r="C62" s="36">
        <v>42945</v>
      </c>
      <c r="D62" s="8" t="s">
        <v>49</v>
      </c>
      <c r="E62" s="152"/>
      <c r="F62" s="153"/>
      <c r="G62" s="154"/>
      <c r="H62" s="153"/>
      <c r="I62" s="154"/>
      <c r="J62" s="155"/>
      <c r="K62" s="9"/>
      <c r="L62" s="10"/>
      <c r="M62" s="11"/>
      <c r="N62" s="9"/>
      <c r="O62" s="10"/>
      <c r="P62" s="11"/>
      <c r="Q62" s="9"/>
      <c r="R62" s="10"/>
      <c r="S62" s="11"/>
      <c r="T62" s="12"/>
    </row>
    <row r="63" spans="1:20" x14ac:dyDescent="0.35">
      <c r="A63" s="37" t="str">
        <f t="shared" si="0"/>
        <v>31;2017</v>
      </c>
      <c r="C63" s="36">
        <v>42946</v>
      </c>
      <c r="D63" s="8" t="s">
        <v>50</v>
      </c>
      <c r="E63" s="152"/>
      <c r="F63" s="153"/>
      <c r="G63" s="154"/>
      <c r="H63" s="153"/>
      <c r="I63" s="154"/>
      <c r="J63" s="155"/>
      <c r="K63" s="9"/>
      <c r="L63" s="10"/>
      <c r="M63" s="11"/>
      <c r="N63" s="9"/>
      <c r="O63" s="10"/>
      <c r="P63" s="11"/>
      <c r="Q63" s="9"/>
      <c r="R63" s="10"/>
      <c r="S63" s="11"/>
      <c r="T63" s="12"/>
    </row>
    <row r="64" spans="1:20" x14ac:dyDescent="0.35">
      <c r="A64" s="37" t="str">
        <f t="shared" si="0"/>
        <v>31;2017</v>
      </c>
      <c r="C64" s="34">
        <v>42947</v>
      </c>
      <c r="D64" s="18" t="s">
        <v>44</v>
      </c>
      <c r="E64" s="156">
        <v>89</v>
      </c>
      <c r="F64" s="136"/>
      <c r="G64" s="133">
        <v>0</v>
      </c>
      <c r="H64" s="136"/>
      <c r="I64" s="133">
        <v>89</v>
      </c>
      <c r="J64" s="134"/>
      <c r="K64" s="19">
        <v>84</v>
      </c>
      <c r="L64" s="20">
        <v>0</v>
      </c>
      <c r="M64" s="21">
        <v>5</v>
      </c>
      <c r="N64" s="19">
        <v>38</v>
      </c>
      <c r="O64" s="20">
        <v>49</v>
      </c>
      <c r="P64" s="21">
        <v>2</v>
      </c>
      <c r="Q64" s="19">
        <v>2</v>
      </c>
      <c r="R64" s="20">
        <v>49</v>
      </c>
      <c r="S64" s="21">
        <v>38</v>
      </c>
      <c r="T64" s="22">
        <v>89</v>
      </c>
    </row>
    <row r="65" spans="1:20" x14ac:dyDescent="0.35">
      <c r="A65" s="37" t="str">
        <f t="shared" si="0"/>
        <v>31;2017</v>
      </c>
      <c r="C65" s="35">
        <v>42948</v>
      </c>
      <c r="D65" s="23" t="s">
        <v>45</v>
      </c>
      <c r="E65" s="156">
        <v>17</v>
      </c>
      <c r="F65" s="136"/>
      <c r="G65" s="133">
        <v>0</v>
      </c>
      <c r="H65" s="136"/>
      <c r="I65" s="133">
        <v>17</v>
      </c>
      <c r="J65" s="134"/>
      <c r="K65" s="24">
        <v>17</v>
      </c>
      <c r="L65" s="25">
        <v>0</v>
      </c>
      <c r="M65" s="26">
        <v>0</v>
      </c>
      <c r="N65" s="24">
        <v>6</v>
      </c>
      <c r="O65" s="25">
        <v>11</v>
      </c>
      <c r="P65" s="26">
        <v>0</v>
      </c>
      <c r="Q65" s="24">
        <v>0</v>
      </c>
      <c r="R65" s="25">
        <v>11</v>
      </c>
      <c r="S65" s="26">
        <v>6</v>
      </c>
      <c r="T65" s="27">
        <v>17</v>
      </c>
    </row>
    <row r="66" spans="1:20" x14ac:dyDescent="0.35">
      <c r="A66" s="37" t="str">
        <f t="shared" si="0"/>
        <v>31;2017</v>
      </c>
      <c r="C66" s="35">
        <v>42949</v>
      </c>
      <c r="D66" s="23" t="s">
        <v>46</v>
      </c>
      <c r="E66" s="156">
        <v>123</v>
      </c>
      <c r="F66" s="136"/>
      <c r="G66" s="133">
        <v>0</v>
      </c>
      <c r="H66" s="136"/>
      <c r="I66" s="133">
        <v>123</v>
      </c>
      <c r="J66" s="134"/>
      <c r="K66" s="24">
        <v>114</v>
      </c>
      <c r="L66" s="25">
        <v>0</v>
      </c>
      <c r="M66" s="26">
        <v>9</v>
      </c>
      <c r="N66" s="24">
        <v>46</v>
      </c>
      <c r="O66" s="25">
        <v>71</v>
      </c>
      <c r="P66" s="26">
        <v>6</v>
      </c>
      <c r="Q66" s="24">
        <v>0</v>
      </c>
      <c r="R66" s="25">
        <v>81</v>
      </c>
      <c r="S66" s="26">
        <v>42</v>
      </c>
      <c r="T66" s="27">
        <v>123</v>
      </c>
    </row>
    <row r="67" spans="1:20" x14ac:dyDescent="0.35">
      <c r="A67" s="37" t="str">
        <f t="shared" si="0"/>
        <v>31;2017</v>
      </c>
      <c r="C67" s="35">
        <v>42950</v>
      </c>
      <c r="D67" s="23" t="s">
        <v>47</v>
      </c>
      <c r="E67" s="156">
        <v>161</v>
      </c>
      <c r="F67" s="136"/>
      <c r="G67" s="133">
        <v>0</v>
      </c>
      <c r="H67" s="136"/>
      <c r="I67" s="133">
        <v>161</v>
      </c>
      <c r="J67" s="134"/>
      <c r="K67" s="24">
        <v>150</v>
      </c>
      <c r="L67" s="25">
        <v>0</v>
      </c>
      <c r="M67" s="26">
        <v>11</v>
      </c>
      <c r="N67" s="24">
        <v>61</v>
      </c>
      <c r="O67" s="25">
        <v>90</v>
      </c>
      <c r="P67" s="26">
        <v>10</v>
      </c>
      <c r="Q67" s="24">
        <v>5</v>
      </c>
      <c r="R67" s="25">
        <v>99</v>
      </c>
      <c r="S67" s="26">
        <v>57</v>
      </c>
      <c r="T67" s="27">
        <v>161</v>
      </c>
    </row>
    <row r="68" spans="1:20" x14ac:dyDescent="0.35">
      <c r="A68" s="37" t="str">
        <f t="shared" si="0"/>
        <v>31;2017</v>
      </c>
      <c r="C68" s="35">
        <v>42951</v>
      </c>
      <c r="D68" s="23" t="s">
        <v>48</v>
      </c>
      <c r="E68" s="156">
        <v>73</v>
      </c>
      <c r="F68" s="136"/>
      <c r="G68" s="133">
        <v>0</v>
      </c>
      <c r="H68" s="136"/>
      <c r="I68" s="133">
        <v>73</v>
      </c>
      <c r="J68" s="134"/>
      <c r="K68" s="24">
        <v>62</v>
      </c>
      <c r="L68" s="25">
        <v>0</v>
      </c>
      <c r="M68" s="26">
        <v>11</v>
      </c>
      <c r="N68" s="24">
        <v>30</v>
      </c>
      <c r="O68" s="25">
        <v>39</v>
      </c>
      <c r="P68" s="26">
        <v>4</v>
      </c>
      <c r="Q68" s="24">
        <v>1</v>
      </c>
      <c r="R68" s="25">
        <v>42</v>
      </c>
      <c r="S68" s="26">
        <v>30</v>
      </c>
      <c r="T68" s="27">
        <v>73</v>
      </c>
    </row>
    <row r="69" spans="1:20" x14ac:dyDescent="0.35">
      <c r="A69" s="37" t="str">
        <f t="shared" si="0"/>
        <v>31;2017</v>
      </c>
      <c r="C69" s="36">
        <v>42952</v>
      </c>
      <c r="D69" s="8" t="s">
        <v>49</v>
      </c>
      <c r="E69" s="152"/>
      <c r="F69" s="153"/>
      <c r="G69" s="154"/>
      <c r="H69" s="153"/>
      <c r="I69" s="154"/>
      <c r="J69" s="155"/>
      <c r="K69" s="9"/>
      <c r="L69" s="10"/>
      <c r="M69" s="11"/>
      <c r="N69" s="9"/>
      <c r="O69" s="10"/>
      <c r="P69" s="11"/>
      <c r="Q69" s="9"/>
      <c r="R69" s="10"/>
      <c r="S69" s="11"/>
      <c r="T69" s="12"/>
    </row>
    <row r="70" spans="1:20" x14ac:dyDescent="0.35">
      <c r="A70" s="37" t="str">
        <f t="shared" si="0"/>
        <v>32;2017</v>
      </c>
      <c r="C70" s="36">
        <v>42953</v>
      </c>
      <c r="D70" s="8" t="s">
        <v>50</v>
      </c>
      <c r="E70" s="152"/>
      <c r="F70" s="153"/>
      <c r="G70" s="154"/>
      <c r="H70" s="153"/>
      <c r="I70" s="154"/>
      <c r="J70" s="155"/>
      <c r="K70" s="9"/>
      <c r="L70" s="10"/>
      <c r="M70" s="11"/>
      <c r="N70" s="9"/>
      <c r="O70" s="10"/>
      <c r="P70" s="11"/>
      <c r="Q70" s="9"/>
      <c r="R70" s="10"/>
      <c r="S70" s="11"/>
      <c r="T70" s="12"/>
    </row>
    <row r="71" spans="1:20" x14ac:dyDescent="0.35">
      <c r="A71" s="37" t="str">
        <f t="shared" si="0"/>
        <v>32;2017</v>
      </c>
      <c r="C71" s="35">
        <v>42954</v>
      </c>
      <c r="D71" s="23" t="s">
        <v>44</v>
      </c>
      <c r="E71" s="157">
        <v>202</v>
      </c>
      <c r="F71" s="158"/>
      <c r="G71" s="133">
        <v>0</v>
      </c>
      <c r="H71" s="136"/>
      <c r="I71" s="133">
        <v>202</v>
      </c>
      <c r="J71" s="134"/>
      <c r="K71" s="24">
        <v>182</v>
      </c>
      <c r="L71" s="25">
        <v>0</v>
      </c>
      <c r="M71" s="26">
        <v>20</v>
      </c>
      <c r="N71" s="24">
        <v>79</v>
      </c>
      <c r="O71" s="25">
        <v>117</v>
      </c>
      <c r="P71" s="26">
        <v>6</v>
      </c>
      <c r="Q71" s="24">
        <v>1</v>
      </c>
      <c r="R71" s="25">
        <v>122</v>
      </c>
      <c r="S71" s="26">
        <v>79</v>
      </c>
      <c r="T71" s="27">
        <v>202</v>
      </c>
    </row>
    <row r="72" spans="1:20" x14ac:dyDescent="0.35">
      <c r="A72" s="37" t="str">
        <f t="shared" ref="A72:A135" si="3">WEEKNUM(C72,1)&amp;";"&amp;YEAR(C72)</f>
        <v>32;2017</v>
      </c>
      <c r="C72" s="35">
        <v>42955</v>
      </c>
      <c r="D72" s="23" t="s">
        <v>45</v>
      </c>
      <c r="E72" s="156">
        <v>100</v>
      </c>
      <c r="F72" s="136"/>
      <c r="G72" s="133">
        <v>0</v>
      </c>
      <c r="H72" s="136"/>
      <c r="I72" s="133">
        <v>100</v>
      </c>
      <c r="J72" s="134"/>
      <c r="K72" s="24">
        <v>91</v>
      </c>
      <c r="L72" s="25">
        <v>0</v>
      </c>
      <c r="M72" s="26">
        <v>9</v>
      </c>
      <c r="N72" s="24">
        <v>43</v>
      </c>
      <c r="O72" s="25">
        <v>52</v>
      </c>
      <c r="P72" s="26">
        <v>5</v>
      </c>
      <c r="Q72" s="24">
        <v>4</v>
      </c>
      <c r="R72" s="25">
        <v>53</v>
      </c>
      <c r="S72" s="26">
        <v>43</v>
      </c>
      <c r="T72" s="27">
        <v>100</v>
      </c>
    </row>
    <row r="73" spans="1:20" x14ac:dyDescent="0.35">
      <c r="A73" s="37" t="str">
        <f t="shared" si="3"/>
        <v>32;2017</v>
      </c>
      <c r="C73" s="35">
        <v>42956</v>
      </c>
      <c r="D73" s="23" t="s">
        <v>46</v>
      </c>
      <c r="E73" s="156">
        <v>177</v>
      </c>
      <c r="F73" s="136"/>
      <c r="G73" s="133">
        <v>0</v>
      </c>
      <c r="H73" s="136"/>
      <c r="I73" s="133">
        <v>177</v>
      </c>
      <c r="J73" s="134"/>
      <c r="K73" s="24">
        <v>147</v>
      </c>
      <c r="L73" s="25">
        <v>0</v>
      </c>
      <c r="M73" s="26">
        <v>30</v>
      </c>
      <c r="N73" s="24">
        <v>70</v>
      </c>
      <c r="O73" s="25">
        <v>95</v>
      </c>
      <c r="P73" s="26">
        <v>12</v>
      </c>
      <c r="Q73" s="24">
        <v>6</v>
      </c>
      <c r="R73" s="25">
        <v>99</v>
      </c>
      <c r="S73" s="26">
        <v>72</v>
      </c>
      <c r="T73" s="27">
        <v>177</v>
      </c>
    </row>
    <row r="74" spans="1:20" x14ac:dyDescent="0.35">
      <c r="A74" s="37" t="str">
        <f t="shared" si="3"/>
        <v>32;2017</v>
      </c>
      <c r="C74" s="35">
        <v>42957</v>
      </c>
      <c r="D74" s="23" t="s">
        <v>47</v>
      </c>
      <c r="E74" s="156">
        <v>184</v>
      </c>
      <c r="F74" s="136"/>
      <c r="G74" s="133">
        <v>0</v>
      </c>
      <c r="H74" s="136"/>
      <c r="I74" s="133">
        <v>184</v>
      </c>
      <c r="J74" s="134"/>
      <c r="K74" s="24">
        <v>168</v>
      </c>
      <c r="L74" s="25">
        <v>0</v>
      </c>
      <c r="M74" s="26">
        <v>16</v>
      </c>
      <c r="N74" s="24">
        <v>64</v>
      </c>
      <c r="O74" s="25">
        <v>110</v>
      </c>
      <c r="P74" s="26">
        <v>10</v>
      </c>
      <c r="Q74" s="24">
        <v>3</v>
      </c>
      <c r="R74" s="25">
        <v>117</v>
      </c>
      <c r="S74" s="26">
        <v>64</v>
      </c>
      <c r="T74" s="27">
        <v>184</v>
      </c>
    </row>
    <row r="75" spans="1:20" x14ac:dyDescent="0.35">
      <c r="A75" s="37" t="str">
        <f t="shared" si="3"/>
        <v>32;2017</v>
      </c>
      <c r="C75" s="35">
        <v>42958</v>
      </c>
      <c r="D75" s="23" t="s">
        <v>48</v>
      </c>
      <c r="E75" s="156">
        <v>133</v>
      </c>
      <c r="F75" s="136"/>
      <c r="G75" s="133">
        <v>0</v>
      </c>
      <c r="H75" s="136"/>
      <c r="I75" s="133">
        <v>133</v>
      </c>
      <c r="J75" s="134"/>
      <c r="K75" s="24">
        <v>121</v>
      </c>
      <c r="L75" s="25">
        <v>0</v>
      </c>
      <c r="M75" s="26">
        <v>12</v>
      </c>
      <c r="N75" s="24">
        <v>54</v>
      </c>
      <c r="O75" s="25">
        <v>73</v>
      </c>
      <c r="P75" s="26">
        <v>6</v>
      </c>
      <c r="Q75" s="24">
        <v>5</v>
      </c>
      <c r="R75" s="25">
        <v>74</v>
      </c>
      <c r="S75" s="26">
        <v>54</v>
      </c>
      <c r="T75" s="27">
        <v>133</v>
      </c>
    </row>
    <row r="76" spans="1:20" x14ac:dyDescent="0.35">
      <c r="A76" s="37" t="str">
        <f t="shared" si="3"/>
        <v>32;2017</v>
      </c>
      <c r="C76" s="36">
        <v>42959</v>
      </c>
      <c r="D76" s="8" t="s">
        <v>49</v>
      </c>
      <c r="E76" s="152"/>
      <c r="F76" s="153"/>
      <c r="G76" s="154"/>
      <c r="H76" s="153"/>
      <c r="I76" s="154"/>
      <c r="J76" s="155"/>
      <c r="K76" s="9"/>
      <c r="L76" s="10"/>
      <c r="M76" s="11"/>
      <c r="N76" s="9"/>
      <c r="O76" s="10"/>
      <c r="P76" s="11"/>
      <c r="Q76" s="9"/>
      <c r="R76" s="10"/>
      <c r="S76" s="11"/>
      <c r="T76" s="12"/>
    </row>
    <row r="77" spans="1:20" x14ac:dyDescent="0.35">
      <c r="A77" s="37" t="str">
        <f t="shared" si="3"/>
        <v>33;2017</v>
      </c>
      <c r="C77" s="36">
        <v>42960</v>
      </c>
      <c r="D77" s="8" t="s">
        <v>50</v>
      </c>
      <c r="E77" s="152"/>
      <c r="F77" s="153"/>
      <c r="G77" s="154"/>
      <c r="H77" s="153"/>
      <c r="I77" s="154"/>
      <c r="J77" s="155"/>
      <c r="K77" s="9"/>
      <c r="L77" s="10"/>
      <c r="M77" s="11"/>
      <c r="N77" s="9"/>
      <c r="O77" s="10"/>
      <c r="P77" s="11"/>
      <c r="Q77" s="9"/>
      <c r="R77" s="10"/>
      <c r="S77" s="11"/>
      <c r="T77" s="12"/>
    </row>
    <row r="78" spans="1:20" x14ac:dyDescent="0.35">
      <c r="A78" s="37" t="str">
        <f t="shared" si="3"/>
        <v>33;2017</v>
      </c>
      <c r="C78" s="34">
        <v>42961</v>
      </c>
      <c r="D78" s="18" t="s">
        <v>44</v>
      </c>
      <c r="E78" s="156">
        <v>89</v>
      </c>
      <c r="F78" s="136"/>
      <c r="G78" s="133">
        <v>0</v>
      </c>
      <c r="H78" s="136"/>
      <c r="I78" s="133">
        <v>89</v>
      </c>
      <c r="J78" s="134"/>
      <c r="K78" s="19">
        <v>84</v>
      </c>
      <c r="L78" s="20">
        <v>0</v>
      </c>
      <c r="M78" s="21">
        <v>5</v>
      </c>
      <c r="N78" s="19">
        <v>38</v>
      </c>
      <c r="O78" s="20">
        <v>49</v>
      </c>
      <c r="P78" s="21">
        <v>2</v>
      </c>
      <c r="Q78" s="19">
        <v>2</v>
      </c>
      <c r="R78" s="20">
        <v>49</v>
      </c>
      <c r="S78" s="21">
        <v>38</v>
      </c>
      <c r="T78" s="22">
        <v>89</v>
      </c>
    </row>
    <row r="79" spans="1:20" x14ac:dyDescent="0.35">
      <c r="A79" s="37" t="str">
        <f t="shared" si="3"/>
        <v>33;2017</v>
      </c>
      <c r="C79" s="35">
        <v>42962</v>
      </c>
      <c r="D79" s="23" t="s">
        <v>45</v>
      </c>
      <c r="E79" s="156">
        <v>17</v>
      </c>
      <c r="F79" s="136"/>
      <c r="G79" s="133">
        <v>0</v>
      </c>
      <c r="H79" s="136"/>
      <c r="I79" s="133">
        <v>17</v>
      </c>
      <c r="J79" s="134"/>
      <c r="K79" s="24">
        <v>17</v>
      </c>
      <c r="L79" s="25">
        <v>0</v>
      </c>
      <c r="M79" s="26">
        <v>0</v>
      </c>
      <c r="N79" s="24">
        <v>6</v>
      </c>
      <c r="O79" s="25">
        <v>11</v>
      </c>
      <c r="P79" s="26">
        <v>0</v>
      </c>
      <c r="Q79" s="24">
        <v>0</v>
      </c>
      <c r="R79" s="25">
        <v>11</v>
      </c>
      <c r="S79" s="26">
        <v>6</v>
      </c>
      <c r="T79" s="27">
        <v>17</v>
      </c>
    </row>
    <row r="80" spans="1:20" x14ac:dyDescent="0.35">
      <c r="A80" s="37" t="str">
        <f t="shared" si="3"/>
        <v>33;2017</v>
      </c>
      <c r="C80" s="35">
        <v>42963</v>
      </c>
      <c r="D80" s="23" t="s">
        <v>46</v>
      </c>
      <c r="E80" s="156">
        <v>123</v>
      </c>
      <c r="F80" s="136"/>
      <c r="G80" s="133">
        <v>0</v>
      </c>
      <c r="H80" s="136"/>
      <c r="I80" s="133">
        <v>123</v>
      </c>
      <c r="J80" s="134"/>
      <c r="K80" s="24">
        <v>114</v>
      </c>
      <c r="L80" s="25">
        <v>0</v>
      </c>
      <c r="M80" s="26">
        <v>9</v>
      </c>
      <c r="N80" s="24">
        <v>46</v>
      </c>
      <c r="O80" s="25">
        <v>71</v>
      </c>
      <c r="P80" s="26">
        <v>6</v>
      </c>
      <c r="Q80" s="24">
        <v>0</v>
      </c>
      <c r="R80" s="25">
        <v>81</v>
      </c>
      <c r="S80" s="26">
        <v>42</v>
      </c>
      <c r="T80" s="27">
        <v>123</v>
      </c>
    </row>
    <row r="81" spans="1:20" x14ac:dyDescent="0.35">
      <c r="A81" s="37" t="str">
        <f t="shared" si="3"/>
        <v>33;2017</v>
      </c>
      <c r="C81" s="35">
        <v>42964</v>
      </c>
      <c r="D81" s="23" t="s">
        <v>47</v>
      </c>
      <c r="E81" s="156">
        <v>161</v>
      </c>
      <c r="F81" s="136"/>
      <c r="G81" s="133">
        <v>0</v>
      </c>
      <c r="H81" s="136"/>
      <c r="I81" s="133">
        <v>161</v>
      </c>
      <c r="J81" s="134"/>
      <c r="K81" s="24">
        <v>150</v>
      </c>
      <c r="L81" s="25">
        <v>0</v>
      </c>
      <c r="M81" s="26">
        <v>11</v>
      </c>
      <c r="N81" s="24">
        <v>61</v>
      </c>
      <c r="O81" s="25">
        <v>90</v>
      </c>
      <c r="P81" s="26">
        <v>10</v>
      </c>
      <c r="Q81" s="24">
        <v>5</v>
      </c>
      <c r="R81" s="25">
        <v>99</v>
      </c>
      <c r="S81" s="26">
        <v>57</v>
      </c>
      <c r="T81" s="27">
        <v>161</v>
      </c>
    </row>
    <row r="82" spans="1:20" x14ac:dyDescent="0.35">
      <c r="A82" s="37" t="str">
        <f t="shared" si="3"/>
        <v>33;2017</v>
      </c>
      <c r="C82" s="35">
        <v>42965</v>
      </c>
      <c r="D82" s="23" t="s">
        <v>48</v>
      </c>
      <c r="E82" s="156">
        <v>73</v>
      </c>
      <c r="F82" s="136"/>
      <c r="G82" s="133">
        <v>0</v>
      </c>
      <c r="H82" s="136"/>
      <c r="I82" s="133">
        <v>73</v>
      </c>
      <c r="J82" s="134"/>
      <c r="K82" s="24">
        <v>62</v>
      </c>
      <c r="L82" s="25">
        <v>0</v>
      </c>
      <c r="M82" s="26">
        <v>11</v>
      </c>
      <c r="N82" s="24">
        <v>30</v>
      </c>
      <c r="O82" s="25">
        <v>39</v>
      </c>
      <c r="P82" s="26">
        <v>4</v>
      </c>
      <c r="Q82" s="24">
        <v>1</v>
      </c>
      <c r="R82" s="25">
        <v>42</v>
      </c>
      <c r="S82" s="26">
        <v>30</v>
      </c>
      <c r="T82" s="27">
        <v>73</v>
      </c>
    </row>
    <row r="83" spans="1:20" x14ac:dyDescent="0.35">
      <c r="A83" s="37" t="str">
        <f t="shared" si="3"/>
        <v>33;2017</v>
      </c>
      <c r="C83" s="36">
        <v>42966</v>
      </c>
      <c r="D83" s="8" t="s">
        <v>49</v>
      </c>
      <c r="E83" s="152"/>
      <c r="F83" s="153"/>
      <c r="G83" s="154"/>
      <c r="H83" s="153"/>
      <c r="I83" s="154"/>
      <c r="J83" s="155"/>
      <c r="K83" s="9"/>
      <c r="L83" s="10"/>
      <c r="M83" s="11"/>
      <c r="N83" s="9"/>
      <c r="O83" s="10"/>
      <c r="P83" s="11"/>
      <c r="Q83" s="9"/>
      <c r="R83" s="10"/>
      <c r="S83" s="11"/>
      <c r="T83" s="12"/>
    </row>
    <row r="84" spans="1:20" x14ac:dyDescent="0.35">
      <c r="A84" s="37" t="str">
        <f t="shared" si="3"/>
        <v>34;2017</v>
      </c>
      <c r="C84" s="36">
        <v>42967</v>
      </c>
      <c r="D84" s="8" t="s">
        <v>50</v>
      </c>
      <c r="E84" s="152"/>
      <c r="F84" s="153"/>
      <c r="G84" s="154"/>
      <c r="H84" s="153"/>
      <c r="I84" s="154"/>
      <c r="J84" s="155"/>
      <c r="K84" s="9"/>
      <c r="L84" s="10"/>
      <c r="M84" s="11"/>
      <c r="N84" s="9"/>
      <c r="O84" s="10"/>
      <c r="P84" s="11"/>
      <c r="Q84" s="9"/>
      <c r="R84" s="10"/>
      <c r="S84" s="11"/>
      <c r="T84" s="12"/>
    </row>
    <row r="85" spans="1:20" x14ac:dyDescent="0.35">
      <c r="A85" s="37" t="str">
        <f t="shared" si="3"/>
        <v>34;2017</v>
      </c>
      <c r="C85" s="35">
        <v>42968</v>
      </c>
      <c r="D85" s="23" t="s">
        <v>44</v>
      </c>
      <c r="E85" s="157">
        <v>202</v>
      </c>
      <c r="F85" s="158"/>
      <c r="G85" s="133">
        <v>0</v>
      </c>
      <c r="H85" s="136"/>
      <c r="I85" s="133">
        <v>202</v>
      </c>
      <c r="J85" s="134"/>
      <c r="K85" s="24">
        <v>182</v>
      </c>
      <c r="L85" s="25">
        <v>0</v>
      </c>
      <c r="M85" s="26">
        <v>20</v>
      </c>
      <c r="N85" s="24">
        <v>79</v>
      </c>
      <c r="O85" s="25">
        <v>117</v>
      </c>
      <c r="P85" s="26">
        <v>6</v>
      </c>
      <c r="Q85" s="24">
        <v>1</v>
      </c>
      <c r="R85" s="25">
        <v>122</v>
      </c>
      <c r="S85" s="26">
        <v>79</v>
      </c>
      <c r="T85" s="27">
        <v>202</v>
      </c>
    </row>
    <row r="86" spans="1:20" x14ac:dyDescent="0.35">
      <c r="A86" s="37" t="str">
        <f t="shared" si="3"/>
        <v>34;2017</v>
      </c>
      <c r="C86" s="35">
        <v>42969</v>
      </c>
      <c r="D86" s="23" t="s">
        <v>45</v>
      </c>
      <c r="E86" s="156">
        <v>100</v>
      </c>
      <c r="F86" s="136"/>
      <c r="G86" s="133">
        <v>0</v>
      </c>
      <c r="H86" s="136"/>
      <c r="I86" s="133">
        <v>100</v>
      </c>
      <c r="J86" s="134"/>
      <c r="K86" s="24">
        <v>91</v>
      </c>
      <c r="L86" s="25">
        <v>0</v>
      </c>
      <c r="M86" s="26">
        <v>9</v>
      </c>
      <c r="N86" s="24">
        <v>43</v>
      </c>
      <c r="O86" s="25">
        <v>52</v>
      </c>
      <c r="P86" s="26">
        <v>5</v>
      </c>
      <c r="Q86" s="24">
        <v>4</v>
      </c>
      <c r="R86" s="25">
        <v>53</v>
      </c>
      <c r="S86" s="26">
        <v>43</v>
      </c>
      <c r="T86" s="27">
        <v>100</v>
      </c>
    </row>
    <row r="87" spans="1:20" x14ac:dyDescent="0.35">
      <c r="A87" s="37" t="str">
        <f t="shared" si="3"/>
        <v>34;2017</v>
      </c>
      <c r="C87" s="35">
        <v>42970</v>
      </c>
      <c r="D87" s="23" t="s">
        <v>46</v>
      </c>
      <c r="E87" s="156">
        <v>177</v>
      </c>
      <c r="F87" s="136"/>
      <c r="G87" s="133">
        <v>0</v>
      </c>
      <c r="H87" s="136"/>
      <c r="I87" s="133">
        <v>177</v>
      </c>
      <c r="J87" s="134"/>
      <c r="K87" s="24">
        <v>147</v>
      </c>
      <c r="L87" s="25">
        <v>0</v>
      </c>
      <c r="M87" s="26">
        <v>30</v>
      </c>
      <c r="N87" s="24">
        <v>70</v>
      </c>
      <c r="O87" s="25">
        <v>95</v>
      </c>
      <c r="P87" s="26">
        <v>12</v>
      </c>
      <c r="Q87" s="24">
        <v>6</v>
      </c>
      <c r="R87" s="25">
        <v>99</v>
      </c>
      <c r="S87" s="26">
        <v>72</v>
      </c>
      <c r="T87" s="27">
        <v>177</v>
      </c>
    </row>
    <row r="88" spans="1:20" x14ac:dyDescent="0.35">
      <c r="A88" s="37" t="str">
        <f t="shared" si="3"/>
        <v>34;2017</v>
      </c>
      <c r="C88" s="35">
        <v>42971</v>
      </c>
      <c r="D88" s="23" t="s">
        <v>47</v>
      </c>
      <c r="E88" s="156">
        <v>184</v>
      </c>
      <c r="F88" s="136"/>
      <c r="G88" s="133">
        <v>0</v>
      </c>
      <c r="H88" s="136"/>
      <c r="I88" s="133">
        <v>184</v>
      </c>
      <c r="J88" s="134"/>
      <c r="K88" s="24">
        <v>168</v>
      </c>
      <c r="L88" s="25">
        <v>0</v>
      </c>
      <c r="M88" s="26">
        <v>16</v>
      </c>
      <c r="N88" s="24">
        <v>64</v>
      </c>
      <c r="O88" s="25">
        <v>110</v>
      </c>
      <c r="P88" s="26">
        <v>10</v>
      </c>
      <c r="Q88" s="24">
        <v>3</v>
      </c>
      <c r="R88" s="25">
        <v>117</v>
      </c>
      <c r="S88" s="26">
        <v>64</v>
      </c>
      <c r="T88" s="27">
        <v>184</v>
      </c>
    </row>
    <row r="89" spans="1:20" x14ac:dyDescent="0.35">
      <c r="A89" s="37" t="str">
        <f t="shared" si="3"/>
        <v>34;2017</v>
      </c>
      <c r="C89" s="35">
        <v>42972</v>
      </c>
      <c r="D89" s="23" t="s">
        <v>48</v>
      </c>
      <c r="E89" s="156">
        <v>133</v>
      </c>
      <c r="F89" s="136"/>
      <c r="G89" s="133">
        <v>0</v>
      </c>
      <c r="H89" s="136"/>
      <c r="I89" s="133">
        <v>133</v>
      </c>
      <c r="J89" s="134"/>
      <c r="K89" s="24">
        <v>121</v>
      </c>
      <c r="L89" s="25">
        <v>0</v>
      </c>
      <c r="M89" s="26">
        <v>12</v>
      </c>
      <c r="N89" s="24">
        <v>54</v>
      </c>
      <c r="O89" s="25">
        <v>73</v>
      </c>
      <c r="P89" s="26">
        <v>6</v>
      </c>
      <c r="Q89" s="24">
        <v>5</v>
      </c>
      <c r="R89" s="25">
        <v>74</v>
      </c>
      <c r="S89" s="26">
        <v>54</v>
      </c>
      <c r="T89" s="27">
        <v>133</v>
      </c>
    </row>
    <row r="90" spans="1:20" x14ac:dyDescent="0.35">
      <c r="A90" s="37" t="str">
        <f t="shared" si="3"/>
        <v>34;2017</v>
      </c>
      <c r="C90" s="36">
        <v>42973</v>
      </c>
      <c r="D90" s="8" t="s">
        <v>49</v>
      </c>
      <c r="E90" s="152"/>
      <c r="F90" s="153"/>
      <c r="G90" s="154"/>
      <c r="H90" s="153"/>
      <c r="I90" s="154"/>
      <c r="J90" s="155"/>
      <c r="K90" s="9"/>
      <c r="L90" s="10"/>
      <c r="M90" s="11"/>
      <c r="N90" s="9"/>
      <c r="O90" s="10"/>
      <c r="P90" s="11"/>
      <c r="Q90" s="9"/>
      <c r="R90" s="10"/>
      <c r="S90" s="11"/>
      <c r="T90" s="12"/>
    </row>
    <row r="91" spans="1:20" x14ac:dyDescent="0.35">
      <c r="A91" s="37" t="str">
        <f t="shared" si="3"/>
        <v>35;2017</v>
      </c>
      <c r="C91" s="36">
        <v>42974</v>
      </c>
      <c r="D91" s="8" t="s">
        <v>50</v>
      </c>
      <c r="E91" s="152"/>
      <c r="F91" s="153"/>
      <c r="G91" s="154"/>
      <c r="H91" s="153"/>
      <c r="I91" s="154"/>
      <c r="J91" s="155"/>
      <c r="K91" s="9"/>
      <c r="L91" s="10"/>
      <c r="M91" s="11"/>
      <c r="N91" s="9"/>
      <c r="O91" s="10"/>
      <c r="P91" s="11"/>
      <c r="Q91" s="9"/>
      <c r="R91" s="10"/>
      <c r="S91" s="11"/>
      <c r="T91" s="12"/>
    </row>
    <row r="92" spans="1:20" x14ac:dyDescent="0.35">
      <c r="A92" s="37" t="str">
        <f t="shared" si="3"/>
        <v>35;2017</v>
      </c>
      <c r="C92" s="34">
        <v>42975</v>
      </c>
      <c r="D92" s="18" t="s">
        <v>44</v>
      </c>
      <c r="E92" s="156">
        <v>89</v>
      </c>
      <c r="F92" s="136"/>
      <c r="G92" s="133">
        <v>0</v>
      </c>
      <c r="H92" s="136"/>
      <c r="I92" s="133">
        <v>89</v>
      </c>
      <c r="J92" s="134"/>
      <c r="K92" s="19">
        <v>84</v>
      </c>
      <c r="L92" s="20">
        <v>0</v>
      </c>
      <c r="M92" s="21">
        <v>5</v>
      </c>
      <c r="N92" s="19">
        <v>38</v>
      </c>
      <c r="O92" s="20">
        <v>49</v>
      </c>
      <c r="P92" s="21">
        <v>2</v>
      </c>
      <c r="Q92" s="19">
        <v>2</v>
      </c>
      <c r="R92" s="20">
        <v>49</v>
      </c>
      <c r="S92" s="21">
        <v>38</v>
      </c>
      <c r="T92" s="22">
        <v>89</v>
      </c>
    </row>
    <row r="93" spans="1:20" x14ac:dyDescent="0.35">
      <c r="A93" s="37" t="str">
        <f t="shared" si="3"/>
        <v>35;2017</v>
      </c>
      <c r="C93" s="35">
        <v>42976</v>
      </c>
      <c r="D93" s="23" t="s">
        <v>45</v>
      </c>
      <c r="E93" s="156">
        <v>17</v>
      </c>
      <c r="F93" s="136"/>
      <c r="G93" s="133">
        <v>0</v>
      </c>
      <c r="H93" s="136"/>
      <c r="I93" s="133">
        <v>17</v>
      </c>
      <c r="J93" s="134"/>
      <c r="K93" s="24">
        <v>17</v>
      </c>
      <c r="L93" s="25">
        <v>0</v>
      </c>
      <c r="M93" s="26">
        <v>0</v>
      </c>
      <c r="N93" s="24">
        <v>6</v>
      </c>
      <c r="O93" s="25">
        <v>11</v>
      </c>
      <c r="P93" s="26">
        <v>0</v>
      </c>
      <c r="Q93" s="24">
        <v>0</v>
      </c>
      <c r="R93" s="25">
        <v>11</v>
      </c>
      <c r="S93" s="26">
        <v>6</v>
      </c>
      <c r="T93" s="27">
        <v>17</v>
      </c>
    </row>
    <row r="94" spans="1:20" x14ac:dyDescent="0.35">
      <c r="A94" s="37" t="str">
        <f t="shared" si="3"/>
        <v>35;2017</v>
      </c>
      <c r="C94" s="35">
        <v>42977</v>
      </c>
      <c r="D94" s="23" t="s">
        <v>46</v>
      </c>
      <c r="E94" s="156">
        <v>123</v>
      </c>
      <c r="F94" s="136"/>
      <c r="G94" s="133">
        <v>0</v>
      </c>
      <c r="H94" s="136"/>
      <c r="I94" s="133">
        <v>123</v>
      </c>
      <c r="J94" s="134"/>
      <c r="K94" s="24">
        <v>114</v>
      </c>
      <c r="L94" s="25">
        <v>0</v>
      </c>
      <c r="M94" s="26">
        <v>9</v>
      </c>
      <c r="N94" s="24">
        <v>46</v>
      </c>
      <c r="O94" s="25">
        <v>71</v>
      </c>
      <c r="P94" s="26">
        <v>6</v>
      </c>
      <c r="Q94" s="24">
        <v>0</v>
      </c>
      <c r="R94" s="25">
        <v>81</v>
      </c>
      <c r="S94" s="26">
        <v>42</v>
      </c>
      <c r="T94" s="27">
        <v>123</v>
      </c>
    </row>
    <row r="95" spans="1:20" x14ac:dyDescent="0.35">
      <c r="A95" s="37" t="str">
        <f t="shared" si="3"/>
        <v>35;2017</v>
      </c>
      <c r="C95" s="35">
        <v>42978</v>
      </c>
      <c r="D95" s="23" t="s">
        <v>47</v>
      </c>
      <c r="E95" s="156">
        <v>161</v>
      </c>
      <c r="F95" s="136"/>
      <c r="G95" s="133">
        <v>0</v>
      </c>
      <c r="H95" s="136"/>
      <c r="I95" s="133">
        <v>161</v>
      </c>
      <c r="J95" s="134"/>
      <c r="K95" s="24">
        <v>150</v>
      </c>
      <c r="L95" s="25">
        <v>0</v>
      </c>
      <c r="M95" s="26">
        <v>11</v>
      </c>
      <c r="N95" s="24">
        <v>61</v>
      </c>
      <c r="O95" s="25">
        <v>90</v>
      </c>
      <c r="P95" s="26">
        <v>10</v>
      </c>
      <c r="Q95" s="24">
        <v>5</v>
      </c>
      <c r="R95" s="25">
        <v>99</v>
      </c>
      <c r="S95" s="26">
        <v>57</v>
      </c>
      <c r="T95" s="27">
        <v>161</v>
      </c>
    </row>
    <row r="96" spans="1:20" x14ac:dyDescent="0.35">
      <c r="A96" s="37" t="str">
        <f t="shared" si="3"/>
        <v>35;2017</v>
      </c>
      <c r="C96" s="35">
        <v>42979</v>
      </c>
      <c r="D96" s="23" t="s">
        <v>48</v>
      </c>
      <c r="E96" s="156">
        <v>73</v>
      </c>
      <c r="F96" s="136"/>
      <c r="G96" s="133">
        <v>0</v>
      </c>
      <c r="H96" s="136"/>
      <c r="I96" s="133">
        <v>73</v>
      </c>
      <c r="J96" s="134"/>
      <c r="K96" s="24">
        <v>62</v>
      </c>
      <c r="L96" s="25">
        <v>0</v>
      </c>
      <c r="M96" s="26">
        <v>11</v>
      </c>
      <c r="N96" s="24">
        <v>30</v>
      </c>
      <c r="O96" s="25">
        <v>39</v>
      </c>
      <c r="P96" s="26">
        <v>4</v>
      </c>
      <c r="Q96" s="24">
        <v>1</v>
      </c>
      <c r="R96" s="25">
        <v>42</v>
      </c>
      <c r="S96" s="26">
        <v>30</v>
      </c>
      <c r="T96" s="27">
        <v>73</v>
      </c>
    </row>
    <row r="97" spans="1:20" x14ac:dyDescent="0.35">
      <c r="A97" s="37" t="str">
        <f t="shared" si="3"/>
        <v>35;2017</v>
      </c>
      <c r="C97" s="36">
        <v>42980</v>
      </c>
      <c r="D97" s="8" t="s">
        <v>49</v>
      </c>
      <c r="E97" s="152"/>
      <c r="F97" s="153"/>
      <c r="G97" s="154"/>
      <c r="H97" s="153"/>
      <c r="I97" s="154"/>
      <c r="J97" s="155"/>
      <c r="K97" s="9"/>
      <c r="L97" s="10"/>
      <c r="M97" s="11"/>
      <c r="N97" s="9"/>
      <c r="O97" s="10"/>
      <c r="P97" s="11"/>
      <c r="Q97" s="9"/>
      <c r="R97" s="10"/>
      <c r="S97" s="11"/>
      <c r="T97" s="12"/>
    </row>
    <row r="98" spans="1:20" x14ac:dyDescent="0.35">
      <c r="A98" s="37" t="str">
        <f t="shared" si="3"/>
        <v>36;2017</v>
      </c>
      <c r="C98" s="36">
        <v>42981</v>
      </c>
      <c r="D98" s="8" t="s">
        <v>50</v>
      </c>
      <c r="E98" s="152"/>
      <c r="F98" s="153"/>
      <c r="G98" s="154"/>
      <c r="H98" s="153"/>
      <c r="I98" s="154"/>
      <c r="J98" s="155"/>
      <c r="K98" s="9"/>
      <c r="L98" s="10"/>
      <c r="M98" s="11"/>
      <c r="N98" s="9"/>
      <c r="O98" s="10"/>
      <c r="P98" s="11"/>
      <c r="Q98" s="9"/>
      <c r="R98" s="10"/>
      <c r="S98" s="11"/>
      <c r="T98" s="12"/>
    </row>
    <row r="99" spans="1:20" x14ac:dyDescent="0.35">
      <c r="A99" s="37" t="str">
        <f t="shared" si="3"/>
        <v>36;2017</v>
      </c>
      <c r="C99" s="35">
        <v>42982</v>
      </c>
      <c r="D99" s="23" t="s">
        <v>44</v>
      </c>
      <c r="E99" s="157">
        <v>202</v>
      </c>
      <c r="F99" s="158"/>
      <c r="G99" s="133">
        <v>0</v>
      </c>
      <c r="H99" s="136"/>
      <c r="I99" s="133">
        <v>202</v>
      </c>
      <c r="J99" s="134"/>
      <c r="K99" s="24">
        <v>182</v>
      </c>
      <c r="L99" s="25">
        <v>0</v>
      </c>
      <c r="M99" s="26">
        <v>20</v>
      </c>
      <c r="N99" s="24">
        <v>79</v>
      </c>
      <c r="O99" s="25">
        <v>117</v>
      </c>
      <c r="P99" s="26">
        <v>6</v>
      </c>
      <c r="Q99" s="24">
        <v>1</v>
      </c>
      <c r="R99" s="25">
        <v>122</v>
      </c>
      <c r="S99" s="26">
        <v>79</v>
      </c>
      <c r="T99" s="27">
        <v>202</v>
      </c>
    </row>
    <row r="100" spans="1:20" x14ac:dyDescent="0.35">
      <c r="A100" s="37" t="str">
        <f t="shared" si="3"/>
        <v>36;2017</v>
      </c>
      <c r="C100" s="35">
        <v>42983</v>
      </c>
      <c r="D100" s="23" t="s">
        <v>45</v>
      </c>
      <c r="E100" s="156">
        <v>100</v>
      </c>
      <c r="F100" s="136"/>
      <c r="G100" s="133">
        <v>0</v>
      </c>
      <c r="H100" s="136"/>
      <c r="I100" s="133">
        <v>100</v>
      </c>
      <c r="J100" s="134"/>
      <c r="K100" s="24">
        <v>91</v>
      </c>
      <c r="L100" s="25">
        <v>0</v>
      </c>
      <c r="M100" s="26">
        <v>9</v>
      </c>
      <c r="N100" s="24">
        <v>43</v>
      </c>
      <c r="O100" s="25">
        <v>52</v>
      </c>
      <c r="P100" s="26">
        <v>5</v>
      </c>
      <c r="Q100" s="24">
        <v>4</v>
      </c>
      <c r="R100" s="25">
        <v>53</v>
      </c>
      <c r="S100" s="26">
        <v>43</v>
      </c>
      <c r="T100" s="27">
        <v>100</v>
      </c>
    </row>
    <row r="101" spans="1:20" x14ac:dyDescent="0.35">
      <c r="A101" s="37" t="str">
        <f t="shared" si="3"/>
        <v>36;2017</v>
      </c>
      <c r="C101" s="35">
        <v>42984</v>
      </c>
      <c r="D101" s="23" t="s">
        <v>46</v>
      </c>
      <c r="E101" s="156">
        <v>177</v>
      </c>
      <c r="F101" s="136"/>
      <c r="G101" s="133">
        <v>0</v>
      </c>
      <c r="H101" s="136"/>
      <c r="I101" s="133">
        <v>177</v>
      </c>
      <c r="J101" s="134"/>
      <c r="K101" s="24">
        <v>147</v>
      </c>
      <c r="L101" s="25">
        <v>0</v>
      </c>
      <c r="M101" s="26">
        <v>30</v>
      </c>
      <c r="N101" s="24">
        <v>70</v>
      </c>
      <c r="O101" s="25">
        <v>95</v>
      </c>
      <c r="P101" s="26">
        <v>12</v>
      </c>
      <c r="Q101" s="24">
        <v>6</v>
      </c>
      <c r="R101" s="25">
        <v>99</v>
      </c>
      <c r="S101" s="26">
        <v>72</v>
      </c>
      <c r="T101" s="27">
        <v>177</v>
      </c>
    </row>
    <row r="102" spans="1:20" x14ac:dyDescent="0.35">
      <c r="A102" s="37" t="str">
        <f t="shared" si="3"/>
        <v>36;2017</v>
      </c>
      <c r="C102" s="35">
        <v>42985</v>
      </c>
      <c r="D102" s="23" t="s">
        <v>47</v>
      </c>
      <c r="E102" s="156">
        <v>184</v>
      </c>
      <c r="F102" s="136"/>
      <c r="G102" s="133">
        <v>0</v>
      </c>
      <c r="H102" s="136"/>
      <c r="I102" s="133">
        <v>184</v>
      </c>
      <c r="J102" s="134"/>
      <c r="K102" s="24">
        <v>168</v>
      </c>
      <c r="L102" s="25">
        <v>0</v>
      </c>
      <c r="M102" s="26">
        <v>16</v>
      </c>
      <c r="N102" s="24">
        <v>64</v>
      </c>
      <c r="O102" s="25">
        <v>110</v>
      </c>
      <c r="P102" s="26">
        <v>10</v>
      </c>
      <c r="Q102" s="24">
        <v>3</v>
      </c>
      <c r="R102" s="25">
        <v>117</v>
      </c>
      <c r="S102" s="26">
        <v>64</v>
      </c>
      <c r="T102" s="27">
        <v>184</v>
      </c>
    </row>
    <row r="103" spans="1:20" x14ac:dyDescent="0.35">
      <c r="A103" s="37" t="str">
        <f t="shared" si="3"/>
        <v>36;2017</v>
      </c>
      <c r="C103" s="35">
        <v>42986</v>
      </c>
      <c r="D103" s="23" t="s">
        <v>48</v>
      </c>
      <c r="E103" s="156">
        <v>133</v>
      </c>
      <c r="F103" s="136"/>
      <c r="G103" s="133">
        <v>0</v>
      </c>
      <c r="H103" s="136"/>
      <c r="I103" s="133">
        <v>133</v>
      </c>
      <c r="J103" s="134"/>
      <c r="K103" s="24">
        <v>121</v>
      </c>
      <c r="L103" s="25">
        <v>0</v>
      </c>
      <c r="M103" s="26">
        <v>12</v>
      </c>
      <c r="N103" s="24">
        <v>54</v>
      </c>
      <c r="O103" s="25">
        <v>73</v>
      </c>
      <c r="P103" s="26">
        <v>6</v>
      </c>
      <c r="Q103" s="24">
        <v>5</v>
      </c>
      <c r="R103" s="25">
        <v>74</v>
      </c>
      <c r="S103" s="26">
        <v>54</v>
      </c>
      <c r="T103" s="27">
        <v>133</v>
      </c>
    </row>
    <row r="104" spans="1:20" x14ac:dyDescent="0.35">
      <c r="A104" s="37" t="str">
        <f t="shared" si="3"/>
        <v>36;2017</v>
      </c>
      <c r="C104" s="36">
        <v>42987</v>
      </c>
      <c r="D104" s="8" t="s">
        <v>49</v>
      </c>
      <c r="E104" s="152"/>
      <c r="F104" s="153"/>
      <c r="G104" s="154"/>
      <c r="H104" s="153"/>
      <c r="I104" s="154"/>
      <c r="J104" s="155"/>
      <c r="K104" s="9"/>
      <c r="L104" s="10"/>
      <c r="M104" s="11"/>
      <c r="N104" s="9"/>
      <c r="O104" s="10"/>
      <c r="P104" s="11"/>
      <c r="Q104" s="9"/>
      <c r="R104" s="10"/>
      <c r="S104" s="11"/>
      <c r="T104" s="12"/>
    </row>
    <row r="105" spans="1:20" x14ac:dyDescent="0.35">
      <c r="A105" s="37" t="str">
        <f t="shared" si="3"/>
        <v>37;2017</v>
      </c>
      <c r="C105" s="36">
        <v>42988</v>
      </c>
      <c r="D105" s="8" t="s">
        <v>50</v>
      </c>
      <c r="E105" s="152"/>
      <c r="F105" s="153"/>
      <c r="G105" s="154"/>
      <c r="H105" s="153"/>
      <c r="I105" s="154"/>
      <c r="J105" s="155"/>
      <c r="K105" s="9"/>
      <c r="L105" s="10"/>
      <c r="M105" s="11"/>
      <c r="N105" s="9"/>
      <c r="O105" s="10"/>
      <c r="P105" s="11"/>
      <c r="Q105" s="9"/>
      <c r="R105" s="10"/>
      <c r="S105" s="11"/>
      <c r="T105" s="12"/>
    </row>
    <row r="106" spans="1:20" x14ac:dyDescent="0.35">
      <c r="A106" s="37" t="str">
        <f t="shared" si="3"/>
        <v>37;2017</v>
      </c>
      <c r="C106" s="34">
        <v>42989</v>
      </c>
      <c r="D106" s="18" t="s">
        <v>44</v>
      </c>
      <c r="E106" s="156">
        <v>89</v>
      </c>
      <c r="F106" s="136"/>
      <c r="G106" s="133">
        <v>0</v>
      </c>
      <c r="H106" s="136"/>
      <c r="I106" s="133">
        <v>89</v>
      </c>
      <c r="J106" s="134"/>
      <c r="K106" s="19">
        <v>84</v>
      </c>
      <c r="L106" s="20">
        <v>0</v>
      </c>
      <c r="M106" s="21">
        <v>5</v>
      </c>
      <c r="N106" s="19">
        <v>38</v>
      </c>
      <c r="O106" s="20">
        <v>49</v>
      </c>
      <c r="P106" s="21">
        <v>2</v>
      </c>
      <c r="Q106" s="19">
        <v>2</v>
      </c>
      <c r="R106" s="20">
        <v>49</v>
      </c>
      <c r="S106" s="21">
        <v>38</v>
      </c>
      <c r="T106" s="22">
        <v>89</v>
      </c>
    </row>
    <row r="107" spans="1:20" x14ac:dyDescent="0.35">
      <c r="A107" s="37" t="str">
        <f t="shared" si="3"/>
        <v>37;2017</v>
      </c>
      <c r="C107" s="35">
        <v>42990</v>
      </c>
      <c r="D107" s="23" t="s">
        <v>45</v>
      </c>
      <c r="E107" s="156">
        <v>17</v>
      </c>
      <c r="F107" s="136"/>
      <c r="G107" s="133">
        <v>0</v>
      </c>
      <c r="H107" s="136"/>
      <c r="I107" s="133">
        <v>17</v>
      </c>
      <c r="J107" s="134"/>
      <c r="K107" s="24">
        <v>17</v>
      </c>
      <c r="L107" s="25">
        <v>0</v>
      </c>
      <c r="M107" s="26">
        <v>0</v>
      </c>
      <c r="N107" s="24">
        <v>6</v>
      </c>
      <c r="O107" s="25">
        <v>11</v>
      </c>
      <c r="P107" s="26">
        <v>0</v>
      </c>
      <c r="Q107" s="24">
        <v>0</v>
      </c>
      <c r="R107" s="25">
        <v>11</v>
      </c>
      <c r="S107" s="26">
        <v>6</v>
      </c>
      <c r="T107" s="27">
        <v>17</v>
      </c>
    </row>
    <row r="108" spans="1:20" x14ac:dyDescent="0.35">
      <c r="A108" s="37" t="str">
        <f t="shared" si="3"/>
        <v>37;2017</v>
      </c>
      <c r="C108" s="35">
        <v>42991</v>
      </c>
      <c r="D108" s="23" t="s">
        <v>46</v>
      </c>
      <c r="E108" s="156">
        <v>123</v>
      </c>
      <c r="F108" s="136"/>
      <c r="G108" s="133">
        <v>0</v>
      </c>
      <c r="H108" s="136"/>
      <c r="I108" s="133">
        <v>123</v>
      </c>
      <c r="J108" s="134"/>
      <c r="K108" s="24">
        <v>114</v>
      </c>
      <c r="L108" s="25">
        <v>0</v>
      </c>
      <c r="M108" s="26">
        <v>9</v>
      </c>
      <c r="N108" s="24">
        <v>46</v>
      </c>
      <c r="O108" s="25">
        <v>71</v>
      </c>
      <c r="P108" s="26">
        <v>6</v>
      </c>
      <c r="Q108" s="24">
        <v>0</v>
      </c>
      <c r="R108" s="25">
        <v>81</v>
      </c>
      <c r="S108" s="26">
        <v>42</v>
      </c>
      <c r="T108" s="27">
        <v>123</v>
      </c>
    </row>
    <row r="109" spans="1:20" x14ac:dyDescent="0.35">
      <c r="A109" s="37" t="str">
        <f t="shared" si="3"/>
        <v>37;2017</v>
      </c>
      <c r="C109" s="35">
        <v>42992</v>
      </c>
      <c r="D109" s="23" t="s">
        <v>47</v>
      </c>
      <c r="E109" s="156">
        <v>161</v>
      </c>
      <c r="F109" s="136"/>
      <c r="G109" s="133">
        <v>0</v>
      </c>
      <c r="H109" s="136"/>
      <c r="I109" s="133">
        <v>161</v>
      </c>
      <c r="J109" s="134"/>
      <c r="K109" s="24">
        <v>150</v>
      </c>
      <c r="L109" s="25">
        <v>0</v>
      </c>
      <c r="M109" s="26">
        <v>11</v>
      </c>
      <c r="N109" s="24">
        <v>61</v>
      </c>
      <c r="O109" s="25">
        <v>90</v>
      </c>
      <c r="P109" s="26">
        <v>10</v>
      </c>
      <c r="Q109" s="24">
        <v>5</v>
      </c>
      <c r="R109" s="25">
        <v>99</v>
      </c>
      <c r="S109" s="26">
        <v>57</v>
      </c>
      <c r="T109" s="27">
        <v>161</v>
      </c>
    </row>
    <row r="110" spans="1:20" x14ac:dyDescent="0.35">
      <c r="A110" s="37" t="str">
        <f t="shared" si="3"/>
        <v>37;2017</v>
      </c>
      <c r="C110" s="35">
        <v>42993</v>
      </c>
      <c r="D110" s="23" t="s">
        <v>48</v>
      </c>
      <c r="E110" s="156">
        <v>73</v>
      </c>
      <c r="F110" s="136"/>
      <c r="G110" s="133">
        <v>0</v>
      </c>
      <c r="H110" s="136"/>
      <c r="I110" s="133">
        <v>73</v>
      </c>
      <c r="J110" s="134"/>
      <c r="K110" s="24">
        <v>62</v>
      </c>
      <c r="L110" s="25">
        <v>0</v>
      </c>
      <c r="M110" s="26">
        <v>11</v>
      </c>
      <c r="N110" s="24">
        <v>30</v>
      </c>
      <c r="O110" s="25">
        <v>39</v>
      </c>
      <c r="P110" s="26">
        <v>4</v>
      </c>
      <c r="Q110" s="24">
        <v>1</v>
      </c>
      <c r="R110" s="25">
        <v>42</v>
      </c>
      <c r="S110" s="26">
        <v>30</v>
      </c>
      <c r="T110" s="27">
        <v>73</v>
      </c>
    </row>
    <row r="111" spans="1:20" x14ac:dyDescent="0.35">
      <c r="A111" s="37" t="str">
        <f t="shared" si="3"/>
        <v>37;2017</v>
      </c>
      <c r="C111" s="36">
        <v>42994</v>
      </c>
      <c r="D111" s="8" t="s">
        <v>49</v>
      </c>
      <c r="E111" s="152"/>
      <c r="F111" s="153"/>
      <c r="G111" s="154"/>
      <c r="H111" s="153"/>
      <c r="I111" s="154"/>
      <c r="J111" s="155"/>
      <c r="K111" s="9"/>
      <c r="L111" s="10"/>
      <c r="M111" s="11"/>
      <c r="N111" s="9"/>
      <c r="O111" s="10"/>
      <c r="P111" s="11"/>
      <c r="Q111" s="9"/>
      <c r="R111" s="10"/>
      <c r="S111" s="11"/>
      <c r="T111" s="12"/>
    </row>
    <row r="112" spans="1:20" x14ac:dyDescent="0.35">
      <c r="A112" s="37" t="str">
        <f t="shared" si="3"/>
        <v>38;2017</v>
      </c>
      <c r="C112" s="36">
        <v>42995</v>
      </c>
      <c r="D112" s="8" t="s">
        <v>50</v>
      </c>
      <c r="E112" s="152"/>
      <c r="F112" s="153"/>
      <c r="G112" s="154"/>
      <c r="H112" s="153"/>
      <c r="I112" s="154"/>
      <c r="J112" s="155"/>
      <c r="K112" s="9"/>
      <c r="L112" s="10"/>
      <c r="M112" s="11"/>
      <c r="N112" s="9"/>
      <c r="O112" s="10"/>
      <c r="P112" s="11"/>
      <c r="Q112" s="9"/>
      <c r="R112" s="10"/>
      <c r="S112" s="11"/>
      <c r="T112" s="12"/>
    </row>
    <row r="113" spans="1:20" x14ac:dyDescent="0.35">
      <c r="A113" s="37" t="str">
        <f t="shared" si="3"/>
        <v>38;2017</v>
      </c>
      <c r="C113" s="35">
        <v>42996</v>
      </c>
      <c r="D113" s="23" t="s">
        <v>44</v>
      </c>
      <c r="E113" s="157">
        <v>202</v>
      </c>
      <c r="F113" s="158"/>
      <c r="G113" s="133">
        <v>0</v>
      </c>
      <c r="H113" s="136"/>
      <c r="I113" s="133">
        <v>202</v>
      </c>
      <c r="J113" s="134"/>
      <c r="K113" s="24">
        <v>182</v>
      </c>
      <c r="L113" s="25">
        <v>0</v>
      </c>
      <c r="M113" s="26">
        <v>20</v>
      </c>
      <c r="N113" s="24">
        <v>79</v>
      </c>
      <c r="O113" s="25">
        <v>117</v>
      </c>
      <c r="P113" s="26">
        <v>6</v>
      </c>
      <c r="Q113" s="24">
        <v>1</v>
      </c>
      <c r="R113" s="25">
        <v>122</v>
      </c>
      <c r="S113" s="26">
        <v>79</v>
      </c>
      <c r="T113" s="27">
        <v>202</v>
      </c>
    </row>
    <row r="114" spans="1:20" x14ac:dyDescent="0.35">
      <c r="A114" s="37" t="str">
        <f t="shared" si="3"/>
        <v>38;2017</v>
      </c>
      <c r="C114" s="35">
        <v>42997</v>
      </c>
      <c r="D114" s="23" t="s">
        <v>45</v>
      </c>
      <c r="E114" s="156">
        <v>100</v>
      </c>
      <c r="F114" s="136"/>
      <c r="G114" s="133">
        <v>0</v>
      </c>
      <c r="H114" s="136"/>
      <c r="I114" s="133">
        <v>100</v>
      </c>
      <c r="J114" s="134"/>
      <c r="K114" s="24">
        <v>91</v>
      </c>
      <c r="L114" s="25">
        <v>0</v>
      </c>
      <c r="M114" s="26">
        <v>9</v>
      </c>
      <c r="N114" s="24">
        <v>43</v>
      </c>
      <c r="O114" s="25">
        <v>52</v>
      </c>
      <c r="P114" s="26">
        <v>5</v>
      </c>
      <c r="Q114" s="24">
        <v>4</v>
      </c>
      <c r="R114" s="25">
        <v>53</v>
      </c>
      <c r="S114" s="26">
        <v>43</v>
      </c>
      <c r="T114" s="27">
        <v>100</v>
      </c>
    </row>
    <row r="115" spans="1:20" x14ac:dyDescent="0.35">
      <c r="A115" s="37" t="str">
        <f t="shared" si="3"/>
        <v>38;2017</v>
      </c>
      <c r="C115" s="35">
        <v>42998</v>
      </c>
      <c r="D115" s="23" t="s">
        <v>46</v>
      </c>
      <c r="E115" s="156">
        <v>177</v>
      </c>
      <c r="F115" s="136"/>
      <c r="G115" s="133">
        <v>0</v>
      </c>
      <c r="H115" s="136"/>
      <c r="I115" s="133">
        <v>177</v>
      </c>
      <c r="J115" s="134"/>
      <c r="K115" s="24">
        <v>147</v>
      </c>
      <c r="L115" s="25">
        <v>0</v>
      </c>
      <c r="M115" s="26">
        <v>30</v>
      </c>
      <c r="N115" s="24">
        <v>70</v>
      </c>
      <c r="O115" s="25">
        <v>95</v>
      </c>
      <c r="P115" s="26">
        <v>12</v>
      </c>
      <c r="Q115" s="24">
        <v>6</v>
      </c>
      <c r="R115" s="25">
        <v>99</v>
      </c>
      <c r="S115" s="26">
        <v>72</v>
      </c>
      <c r="T115" s="27">
        <v>177</v>
      </c>
    </row>
    <row r="116" spans="1:20" x14ac:dyDescent="0.35">
      <c r="A116" s="37" t="str">
        <f t="shared" si="3"/>
        <v>38;2017</v>
      </c>
      <c r="C116" s="35">
        <v>42999</v>
      </c>
      <c r="D116" s="23" t="s">
        <v>47</v>
      </c>
      <c r="E116" s="156">
        <v>184</v>
      </c>
      <c r="F116" s="136"/>
      <c r="G116" s="133">
        <v>0</v>
      </c>
      <c r="H116" s="136"/>
      <c r="I116" s="133">
        <v>184</v>
      </c>
      <c r="J116" s="134"/>
      <c r="K116" s="24">
        <v>168</v>
      </c>
      <c r="L116" s="25">
        <v>0</v>
      </c>
      <c r="M116" s="26">
        <v>16</v>
      </c>
      <c r="N116" s="24">
        <v>64</v>
      </c>
      <c r="O116" s="25">
        <v>110</v>
      </c>
      <c r="P116" s="26">
        <v>10</v>
      </c>
      <c r="Q116" s="24">
        <v>3</v>
      </c>
      <c r="R116" s="25">
        <v>117</v>
      </c>
      <c r="S116" s="26">
        <v>64</v>
      </c>
      <c r="T116" s="27">
        <v>184</v>
      </c>
    </row>
    <row r="117" spans="1:20" x14ac:dyDescent="0.35">
      <c r="A117" s="37" t="str">
        <f t="shared" si="3"/>
        <v>38;2017</v>
      </c>
      <c r="C117" s="35">
        <v>43000</v>
      </c>
      <c r="D117" s="23" t="s">
        <v>48</v>
      </c>
      <c r="E117" s="156">
        <v>133</v>
      </c>
      <c r="F117" s="136"/>
      <c r="G117" s="133">
        <v>0</v>
      </c>
      <c r="H117" s="136"/>
      <c r="I117" s="133">
        <v>133</v>
      </c>
      <c r="J117" s="134"/>
      <c r="K117" s="24">
        <v>121</v>
      </c>
      <c r="L117" s="25">
        <v>0</v>
      </c>
      <c r="M117" s="26">
        <v>12</v>
      </c>
      <c r="N117" s="24">
        <v>54</v>
      </c>
      <c r="O117" s="25">
        <v>73</v>
      </c>
      <c r="P117" s="26">
        <v>6</v>
      </c>
      <c r="Q117" s="24">
        <v>5</v>
      </c>
      <c r="R117" s="25">
        <v>74</v>
      </c>
      <c r="S117" s="26">
        <v>54</v>
      </c>
      <c r="T117" s="27">
        <v>133</v>
      </c>
    </row>
    <row r="118" spans="1:20" x14ac:dyDescent="0.35">
      <c r="A118" s="37" t="str">
        <f t="shared" si="3"/>
        <v>38;2017</v>
      </c>
      <c r="C118" s="36">
        <v>43001</v>
      </c>
      <c r="D118" s="8" t="s">
        <v>49</v>
      </c>
      <c r="E118" s="152"/>
      <c r="F118" s="153"/>
      <c r="G118" s="154"/>
      <c r="H118" s="153"/>
      <c r="I118" s="154"/>
      <c r="J118" s="155"/>
      <c r="K118" s="9"/>
      <c r="L118" s="10"/>
      <c r="M118" s="11"/>
      <c r="N118" s="9"/>
      <c r="O118" s="10"/>
      <c r="P118" s="11"/>
      <c r="Q118" s="9"/>
      <c r="R118" s="10"/>
      <c r="S118" s="11"/>
      <c r="T118" s="12"/>
    </row>
    <row r="119" spans="1:20" x14ac:dyDescent="0.35">
      <c r="A119" s="37" t="str">
        <f t="shared" si="3"/>
        <v>39;2017</v>
      </c>
      <c r="C119" s="36">
        <v>43002</v>
      </c>
      <c r="D119" s="8" t="s">
        <v>50</v>
      </c>
      <c r="E119" s="152"/>
      <c r="F119" s="153"/>
      <c r="G119" s="154"/>
      <c r="H119" s="153"/>
      <c r="I119" s="154"/>
      <c r="J119" s="155"/>
      <c r="K119" s="9"/>
      <c r="L119" s="10"/>
      <c r="M119" s="11"/>
      <c r="N119" s="9"/>
      <c r="O119" s="10"/>
      <c r="P119" s="11"/>
      <c r="Q119" s="9"/>
      <c r="R119" s="10"/>
      <c r="S119" s="11"/>
      <c r="T119" s="12"/>
    </row>
    <row r="120" spans="1:20" x14ac:dyDescent="0.35">
      <c r="A120" s="37" t="str">
        <f t="shared" si="3"/>
        <v>39;2017</v>
      </c>
      <c r="C120" s="34">
        <v>43003</v>
      </c>
      <c r="D120" s="18" t="s">
        <v>44</v>
      </c>
      <c r="E120" s="156">
        <v>89</v>
      </c>
      <c r="F120" s="136"/>
      <c r="G120" s="133">
        <v>0</v>
      </c>
      <c r="H120" s="136"/>
      <c r="I120" s="133">
        <v>89</v>
      </c>
      <c r="J120" s="134"/>
      <c r="K120" s="19">
        <v>84</v>
      </c>
      <c r="L120" s="20">
        <v>0</v>
      </c>
      <c r="M120" s="21">
        <v>5</v>
      </c>
      <c r="N120" s="19">
        <v>38</v>
      </c>
      <c r="O120" s="20">
        <v>49</v>
      </c>
      <c r="P120" s="21">
        <v>2</v>
      </c>
      <c r="Q120" s="19">
        <v>2</v>
      </c>
      <c r="R120" s="20">
        <v>49</v>
      </c>
      <c r="S120" s="21">
        <v>38</v>
      </c>
      <c r="T120" s="22">
        <v>89</v>
      </c>
    </row>
    <row r="121" spans="1:20" x14ac:dyDescent="0.35">
      <c r="A121" s="37" t="str">
        <f t="shared" si="3"/>
        <v>39;2017</v>
      </c>
      <c r="C121" s="35">
        <v>43004</v>
      </c>
      <c r="D121" s="23" t="s">
        <v>45</v>
      </c>
      <c r="E121" s="156">
        <v>17</v>
      </c>
      <c r="F121" s="136"/>
      <c r="G121" s="133">
        <v>0</v>
      </c>
      <c r="H121" s="136"/>
      <c r="I121" s="133">
        <v>17</v>
      </c>
      <c r="J121" s="134"/>
      <c r="K121" s="24">
        <v>17</v>
      </c>
      <c r="L121" s="25">
        <v>0</v>
      </c>
      <c r="M121" s="26">
        <v>0</v>
      </c>
      <c r="N121" s="24">
        <v>6</v>
      </c>
      <c r="O121" s="25">
        <v>11</v>
      </c>
      <c r="P121" s="26">
        <v>0</v>
      </c>
      <c r="Q121" s="24">
        <v>0</v>
      </c>
      <c r="R121" s="25">
        <v>11</v>
      </c>
      <c r="S121" s="26">
        <v>6</v>
      </c>
      <c r="T121" s="27">
        <v>17</v>
      </c>
    </row>
    <row r="122" spans="1:20" x14ac:dyDescent="0.35">
      <c r="A122" s="37" t="str">
        <f t="shared" si="3"/>
        <v>39;2017</v>
      </c>
      <c r="C122" s="35">
        <v>43005</v>
      </c>
      <c r="D122" s="23" t="s">
        <v>46</v>
      </c>
      <c r="E122" s="156">
        <v>123</v>
      </c>
      <c r="F122" s="136"/>
      <c r="G122" s="133">
        <v>0</v>
      </c>
      <c r="H122" s="136"/>
      <c r="I122" s="133">
        <v>123</v>
      </c>
      <c r="J122" s="134"/>
      <c r="K122" s="24">
        <v>114</v>
      </c>
      <c r="L122" s="25">
        <v>0</v>
      </c>
      <c r="M122" s="26">
        <v>9</v>
      </c>
      <c r="N122" s="24">
        <v>46</v>
      </c>
      <c r="O122" s="25">
        <v>71</v>
      </c>
      <c r="P122" s="26">
        <v>6</v>
      </c>
      <c r="Q122" s="24">
        <v>0</v>
      </c>
      <c r="R122" s="25">
        <v>81</v>
      </c>
      <c r="S122" s="26">
        <v>42</v>
      </c>
      <c r="T122" s="27">
        <v>123</v>
      </c>
    </row>
    <row r="123" spans="1:20" x14ac:dyDescent="0.35">
      <c r="A123" s="37" t="str">
        <f t="shared" si="3"/>
        <v>39;2017</v>
      </c>
      <c r="C123" s="35">
        <v>43006</v>
      </c>
      <c r="D123" s="23" t="s">
        <v>47</v>
      </c>
      <c r="E123" s="156">
        <v>161</v>
      </c>
      <c r="F123" s="136"/>
      <c r="G123" s="133">
        <v>0</v>
      </c>
      <c r="H123" s="136"/>
      <c r="I123" s="133">
        <v>161</v>
      </c>
      <c r="J123" s="134"/>
      <c r="K123" s="24">
        <v>150</v>
      </c>
      <c r="L123" s="25">
        <v>0</v>
      </c>
      <c r="M123" s="26">
        <v>11</v>
      </c>
      <c r="N123" s="24">
        <v>61</v>
      </c>
      <c r="O123" s="25">
        <v>90</v>
      </c>
      <c r="P123" s="26">
        <v>10</v>
      </c>
      <c r="Q123" s="24">
        <v>5</v>
      </c>
      <c r="R123" s="25">
        <v>99</v>
      </c>
      <c r="S123" s="26">
        <v>57</v>
      </c>
      <c r="T123" s="27">
        <v>161</v>
      </c>
    </row>
    <row r="124" spans="1:20" x14ac:dyDescent="0.35">
      <c r="A124" s="37" t="str">
        <f t="shared" si="3"/>
        <v>39;2017</v>
      </c>
      <c r="C124" s="35">
        <v>43007</v>
      </c>
      <c r="D124" s="23" t="s">
        <v>48</v>
      </c>
      <c r="E124" s="156">
        <v>73</v>
      </c>
      <c r="F124" s="136"/>
      <c r="G124" s="133">
        <v>0</v>
      </c>
      <c r="H124" s="136"/>
      <c r="I124" s="133">
        <v>73</v>
      </c>
      <c r="J124" s="134"/>
      <c r="K124" s="24">
        <v>62</v>
      </c>
      <c r="L124" s="25">
        <v>0</v>
      </c>
      <c r="M124" s="26">
        <v>11</v>
      </c>
      <c r="N124" s="24">
        <v>30</v>
      </c>
      <c r="O124" s="25">
        <v>39</v>
      </c>
      <c r="P124" s="26">
        <v>4</v>
      </c>
      <c r="Q124" s="24">
        <v>1</v>
      </c>
      <c r="R124" s="25">
        <v>42</v>
      </c>
      <c r="S124" s="26">
        <v>30</v>
      </c>
      <c r="T124" s="27">
        <v>73</v>
      </c>
    </row>
    <row r="125" spans="1:20" x14ac:dyDescent="0.35">
      <c r="A125" s="37" t="str">
        <f t="shared" si="3"/>
        <v>39;2017</v>
      </c>
      <c r="C125" s="36">
        <v>43008</v>
      </c>
      <c r="D125" s="8" t="s">
        <v>49</v>
      </c>
      <c r="E125" s="152"/>
      <c r="F125" s="153"/>
      <c r="G125" s="154"/>
      <c r="H125" s="153"/>
      <c r="I125" s="154"/>
      <c r="J125" s="155"/>
      <c r="K125" s="9"/>
      <c r="L125" s="10"/>
      <c r="M125" s="11"/>
      <c r="N125" s="9"/>
      <c r="O125" s="10"/>
      <c r="P125" s="11"/>
      <c r="Q125" s="9"/>
      <c r="R125" s="10"/>
      <c r="S125" s="11"/>
      <c r="T125" s="12"/>
    </row>
    <row r="126" spans="1:20" x14ac:dyDescent="0.35">
      <c r="A126" s="37" t="str">
        <f t="shared" si="3"/>
        <v>40;2017</v>
      </c>
      <c r="C126" s="36">
        <v>43009</v>
      </c>
      <c r="D126" s="8" t="s">
        <v>50</v>
      </c>
      <c r="E126" s="152"/>
      <c r="F126" s="153"/>
      <c r="G126" s="154"/>
      <c r="H126" s="153"/>
      <c r="I126" s="154"/>
      <c r="J126" s="155"/>
      <c r="K126" s="9"/>
      <c r="L126" s="10"/>
      <c r="M126" s="11"/>
      <c r="N126" s="9"/>
      <c r="O126" s="10"/>
      <c r="P126" s="11"/>
      <c r="Q126" s="9"/>
      <c r="R126" s="10"/>
      <c r="S126" s="11"/>
      <c r="T126" s="12"/>
    </row>
    <row r="127" spans="1:20" x14ac:dyDescent="0.35">
      <c r="A127" s="37" t="str">
        <f t="shared" si="3"/>
        <v>40;2017</v>
      </c>
      <c r="C127" s="35">
        <v>43010</v>
      </c>
      <c r="D127" s="23" t="s">
        <v>44</v>
      </c>
      <c r="E127" s="157">
        <v>202</v>
      </c>
      <c r="F127" s="158"/>
      <c r="G127" s="133">
        <v>0</v>
      </c>
      <c r="H127" s="136"/>
      <c r="I127" s="133">
        <v>202</v>
      </c>
      <c r="J127" s="134"/>
      <c r="K127" s="24">
        <v>182</v>
      </c>
      <c r="L127" s="25">
        <v>0</v>
      </c>
      <c r="M127" s="26">
        <v>20</v>
      </c>
      <c r="N127" s="24">
        <v>79</v>
      </c>
      <c r="O127" s="25">
        <v>117</v>
      </c>
      <c r="P127" s="26">
        <v>6</v>
      </c>
      <c r="Q127" s="24">
        <v>1</v>
      </c>
      <c r="R127" s="25">
        <v>122</v>
      </c>
      <c r="S127" s="26">
        <v>79</v>
      </c>
      <c r="T127" s="27">
        <v>202</v>
      </c>
    </row>
    <row r="128" spans="1:20" x14ac:dyDescent="0.35">
      <c r="A128" s="37" t="str">
        <f t="shared" si="3"/>
        <v>40;2017</v>
      </c>
      <c r="C128" s="35">
        <v>43011</v>
      </c>
      <c r="D128" s="23" t="s">
        <v>45</v>
      </c>
      <c r="E128" s="156">
        <v>100</v>
      </c>
      <c r="F128" s="136"/>
      <c r="G128" s="133">
        <v>0</v>
      </c>
      <c r="H128" s="136"/>
      <c r="I128" s="133">
        <v>100</v>
      </c>
      <c r="J128" s="134"/>
      <c r="K128" s="24">
        <v>91</v>
      </c>
      <c r="L128" s="25">
        <v>0</v>
      </c>
      <c r="M128" s="26">
        <v>9</v>
      </c>
      <c r="N128" s="24">
        <v>43</v>
      </c>
      <c r="O128" s="25">
        <v>52</v>
      </c>
      <c r="P128" s="26">
        <v>5</v>
      </c>
      <c r="Q128" s="24">
        <v>4</v>
      </c>
      <c r="R128" s="25">
        <v>53</v>
      </c>
      <c r="S128" s="26">
        <v>43</v>
      </c>
      <c r="T128" s="27">
        <v>100</v>
      </c>
    </row>
    <row r="129" spans="1:20" x14ac:dyDescent="0.35">
      <c r="A129" s="37" t="str">
        <f t="shared" si="3"/>
        <v>40;2017</v>
      </c>
      <c r="C129" s="35">
        <v>43012</v>
      </c>
      <c r="D129" s="23" t="s">
        <v>46</v>
      </c>
      <c r="E129" s="156">
        <v>177</v>
      </c>
      <c r="F129" s="136"/>
      <c r="G129" s="133">
        <v>0</v>
      </c>
      <c r="H129" s="136"/>
      <c r="I129" s="133">
        <v>177</v>
      </c>
      <c r="J129" s="134"/>
      <c r="K129" s="24">
        <v>147</v>
      </c>
      <c r="L129" s="25">
        <v>0</v>
      </c>
      <c r="M129" s="26">
        <v>30</v>
      </c>
      <c r="N129" s="24">
        <v>70</v>
      </c>
      <c r="O129" s="25">
        <v>95</v>
      </c>
      <c r="P129" s="26">
        <v>12</v>
      </c>
      <c r="Q129" s="24">
        <v>6</v>
      </c>
      <c r="R129" s="25">
        <v>99</v>
      </c>
      <c r="S129" s="26">
        <v>72</v>
      </c>
      <c r="T129" s="27">
        <v>177</v>
      </c>
    </row>
    <row r="130" spans="1:20" x14ac:dyDescent="0.35">
      <c r="A130" s="37" t="str">
        <f t="shared" si="3"/>
        <v>40;2017</v>
      </c>
      <c r="C130" s="35">
        <v>43013</v>
      </c>
      <c r="D130" s="23" t="s">
        <v>47</v>
      </c>
      <c r="E130" s="156">
        <v>184</v>
      </c>
      <c r="F130" s="136"/>
      <c r="G130" s="133">
        <v>0</v>
      </c>
      <c r="H130" s="136"/>
      <c r="I130" s="133">
        <v>184</v>
      </c>
      <c r="J130" s="134"/>
      <c r="K130" s="24">
        <v>168</v>
      </c>
      <c r="L130" s="25">
        <v>0</v>
      </c>
      <c r="M130" s="26">
        <v>16</v>
      </c>
      <c r="N130" s="24">
        <v>64</v>
      </c>
      <c r="O130" s="25">
        <v>110</v>
      </c>
      <c r="P130" s="26">
        <v>10</v>
      </c>
      <c r="Q130" s="24">
        <v>3</v>
      </c>
      <c r="R130" s="25">
        <v>117</v>
      </c>
      <c r="S130" s="26">
        <v>64</v>
      </c>
      <c r="T130" s="27">
        <v>184</v>
      </c>
    </row>
    <row r="131" spans="1:20" x14ac:dyDescent="0.35">
      <c r="A131" s="37" t="str">
        <f t="shared" si="3"/>
        <v>40;2017</v>
      </c>
      <c r="C131" s="35">
        <v>43014</v>
      </c>
      <c r="D131" s="23" t="s">
        <v>48</v>
      </c>
      <c r="E131" s="156">
        <v>133</v>
      </c>
      <c r="F131" s="136"/>
      <c r="G131" s="133">
        <v>0</v>
      </c>
      <c r="H131" s="136"/>
      <c r="I131" s="133">
        <v>133</v>
      </c>
      <c r="J131" s="134"/>
      <c r="K131" s="24">
        <v>121</v>
      </c>
      <c r="L131" s="25">
        <v>0</v>
      </c>
      <c r="M131" s="26">
        <v>12</v>
      </c>
      <c r="N131" s="24">
        <v>54</v>
      </c>
      <c r="O131" s="25">
        <v>73</v>
      </c>
      <c r="P131" s="26">
        <v>6</v>
      </c>
      <c r="Q131" s="24">
        <v>5</v>
      </c>
      <c r="R131" s="25">
        <v>74</v>
      </c>
      <c r="S131" s="26">
        <v>54</v>
      </c>
      <c r="T131" s="27">
        <v>133</v>
      </c>
    </row>
    <row r="132" spans="1:20" x14ac:dyDescent="0.35">
      <c r="A132" s="37" t="str">
        <f t="shared" si="3"/>
        <v>40;2017</v>
      </c>
      <c r="C132" s="36">
        <v>43015</v>
      </c>
      <c r="D132" s="8" t="s">
        <v>49</v>
      </c>
      <c r="E132" s="152"/>
      <c r="F132" s="153"/>
      <c r="G132" s="154"/>
      <c r="H132" s="153"/>
      <c r="I132" s="154"/>
      <c r="J132" s="155"/>
      <c r="K132" s="9"/>
      <c r="L132" s="10"/>
      <c r="M132" s="11"/>
      <c r="N132" s="9"/>
      <c r="O132" s="10"/>
      <c r="P132" s="11"/>
      <c r="Q132" s="9"/>
      <c r="R132" s="10"/>
      <c r="S132" s="11"/>
      <c r="T132" s="12"/>
    </row>
    <row r="133" spans="1:20" x14ac:dyDescent="0.35">
      <c r="A133" s="37" t="str">
        <f t="shared" si="3"/>
        <v>41;2017</v>
      </c>
      <c r="C133" s="36">
        <v>43016</v>
      </c>
      <c r="D133" s="8" t="s">
        <v>50</v>
      </c>
      <c r="E133" s="152"/>
      <c r="F133" s="153"/>
      <c r="G133" s="154"/>
      <c r="H133" s="153"/>
      <c r="I133" s="154"/>
      <c r="J133" s="155"/>
      <c r="K133" s="9"/>
      <c r="L133" s="10"/>
      <c r="M133" s="11"/>
      <c r="N133" s="9"/>
      <c r="O133" s="10"/>
      <c r="P133" s="11"/>
      <c r="Q133" s="9"/>
      <c r="R133" s="10"/>
      <c r="S133" s="11"/>
      <c r="T133" s="12"/>
    </row>
    <row r="134" spans="1:20" x14ac:dyDescent="0.35">
      <c r="A134" s="37" t="str">
        <f t="shared" si="3"/>
        <v>41;2017</v>
      </c>
      <c r="C134" s="34">
        <v>43017</v>
      </c>
      <c r="D134" s="18" t="s">
        <v>44</v>
      </c>
      <c r="E134" s="156">
        <v>89</v>
      </c>
      <c r="F134" s="136"/>
      <c r="G134" s="133">
        <v>0</v>
      </c>
      <c r="H134" s="136"/>
      <c r="I134" s="133">
        <v>89</v>
      </c>
      <c r="J134" s="134"/>
      <c r="K134" s="19">
        <v>84</v>
      </c>
      <c r="L134" s="20">
        <v>0</v>
      </c>
      <c r="M134" s="21">
        <v>5</v>
      </c>
      <c r="N134" s="19">
        <v>38</v>
      </c>
      <c r="O134" s="20">
        <v>49</v>
      </c>
      <c r="P134" s="21">
        <v>2</v>
      </c>
      <c r="Q134" s="19">
        <v>2</v>
      </c>
      <c r="R134" s="20">
        <v>49</v>
      </c>
      <c r="S134" s="21">
        <v>38</v>
      </c>
      <c r="T134" s="22">
        <v>89</v>
      </c>
    </row>
    <row r="135" spans="1:20" x14ac:dyDescent="0.35">
      <c r="A135" s="37" t="str">
        <f t="shared" si="3"/>
        <v>41;2017</v>
      </c>
      <c r="C135" s="35">
        <v>43018</v>
      </c>
      <c r="D135" s="23" t="s">
        <v>45</v>
      </c>
      <c r="E135" s="156">
        <v>17</v>
      </c>
      <c r="F135" s="136"/>
      <c r="G135" s="133">
        <v>0</v>
      </c>
      <c r="H135" s="136"/>
      <c r="I135" s="133">
        <v>17</v>
      </c>
      <c r="J135" s="134"/>
      <c r="K135" s="24">
        <v>17</v>
      </c>
      <c r="L135" s="25">
        <v>0</v>
      </c>
      <c r="M135" s="26">
        <v>0</v>
      </c>
      <c r="N135" s="24">
        <v>6</v>
      </c>
      <c r="O135" s="25">
        <v>11</v>
      </c>
      <c r="P135" s="26">
        <v>0</v>
      </c>
      <c r="Q135" s="24">
        <v>0</v>
      </c>
      <c r="R135" s="25">
        <v>11</v>
      </c>
      <c r="S135" s="26">
        <v>6</v>
      </c>
      <c r="T135" s="27">
        <v>17</v>
      </c>
    </row>
    <row r="136" spans="1:20" x14ac:dyDescent="0.35">
      <c r="A136" s="37" t="str">
        <f t="shared" ref="A136:A175" si="4">WEEKNUM(C136,1)&amp;";"&amp;YEAR(C136)</f>
        <v>41;2017</v>
      </c>
      <c r="C136" s="35">
        <v>43019</v>
      </c>
      <c r="D136" s="23" t="s">
        <v>46</v>
      </c>
      <c r="E136" s="156">
        <v>123</v>
      </c>
      <c r="F136" s="136"/>
      <c r="G136" s="133">
        <v>0</v>
      </c>
      <c r="H136" s="136"/>
      <c r="I136" s="133">
        <v>123</v>
      </c>
      <c r="J136" s="134"/>
      <c r="K136" s="24">
        <v>114</v>
      </c>
      <c r="L136" s="25">
        <v>0</v>
      </c>
      <c r="M136" s="26">
        <v>9</v>
      </c>
      <c r="N136" s="24">
        <v>46</v>
      </c>
      <c r="O136" s="25">
        <v>71</v>
      </c>
      <c r="P136" s="26">
        <v>6</v>
      </c>
      <c r="Q136" s="24">
        <v>0</v>
      </c>
      <c r="R136" s="25">
        <v>81</v>
      </c>
      <c r="S136" s="26">
        <v>42</v>
      </c>
      <c r="T136" s="27">
        <v>123</v>
      </c>
    </row>
    <row r="137" spans="1:20" x14ac:dyDescent="0.35">
      <c r="A137" s="37" t="str">
        <f t="shared" si="4"/>
        <v>41;2017</v>
      </c>
      <c r="C137" s="35">
        <v>43020</v>
      </c>
      <c r="D137" s="23" t="s">
        <v>47</v>
      </c>
      <c r="E137" s="156">
        <v>161</v>
      </c>
      <c r="F137" s="136"/>
      <c r="G137" s="133">
        <v>0</v>
      </c>
      <c r="H137" s="136"/>
      <c r="I137" s="133">
        <v>161</v>
      </c>
      <c r="J137" s="134"/>
      <c r="K137" s="24">
        <v>150</v>
      </c>
      <c r="L137" s="25">
        <v>0</v>
      </c>
      <c r="M137" s="26">
        <v>11</v>
      </c>
      <c r="N137" s="24">
        <v>61</v>
      </c>
      <c r="O137" s="25">
        <v>90</v>
      </c>
      <c r="P137" s="26">
        <v>10</v>
      </c>
      <c r="Q137" s="24">
        <v>5</v>
      </c>
      <c r="R137" s="25">
        <v>99</v>
      </c>
      <c r="S137" s="26">
        <v>57</v>
      </c>
      <c r="T137" s="27">
        <v>161</v>
      </c>
    </row>
    <row r="138" spans="1:20" x14ac:dyDescent="0.35">
      <c r="A138" s="37" t="str">
        <f t="shared" si="4"/>
        <v>41;2017</v>
      </c>
      <c r="C138" s="35">
        <v>43021</v>
      </c>
      <c r="D138" s="23" t="s">
        <v>48</v>
      </c>
      <c r="E138" s="156">
        <v>73</v>
      </c>
      <c r="F138" s="136"/>
      <c r="G138" s="133">
        <v>0</v>
      </c>
      <c r="H138" s="136"/>
      <c r="I138" s="133">
        <v>73</v>
      </c>
      <c r="J138" s="134"/>
      <c r="K138" s="24">
        <v>62</v>
      </c>
      <c r="L138" s="25">
        <v>0</v>
      </c>
      <c r="M138" s="26">
        <v>11</v>
      </c>
      <c r="N138" s="24">
        <v>30</v>
      </c>
      <c r="O138" s="25">
        <v>39</v>
      </c>
      <c r="P138" s="26">
        <v>4</v>
      </c>
      <c r="Q138" s="24">
        <v>1</v>
      </c>
      <c r="R138" s="25">
        <v>42</v>
      </c>
      <c r="S138" s="26">
        <v>30</v>
      </c>
      <c r="T138" s="27">
        <v>73</v>
      </c>
    </row>
    <row r="139" spans="1:20" x14ac:dyDescent="0.35">
      <c r="A139" s="37" t="str">
        <f t="shared" si="4"/>
        <v>41;2017</v>
      </c>
      <c r="C139" s="36">
        <v>43022</v>
      </c>
      <c r="D139" s="8" t="s">
        <v>49</v>
      </c>
      <c r="E139" s="152"/>
      <c r="F139" s="153"/>
      <c r="G139" s="154"/>
      <c r="H139" s="153"/>
      <c r="I139" s="154"/>
      <c r="J139" s="155"/>
      <c r="K139" s="9"/>
      <c r="L139" s="10"/>
      <c r="M139" s="11"/>
      <c r="N139" s="9"/>
      <c r="O139" s="10"/>
      <c r="P139" s="11"/>
      <c r="Q139" s="9"/>
      <c r="R139" s="10"/>
      <c r="S139" s="11"/>
      <c r="T139" s="12"/>
    </row>
    <row r="140" spans="1:20" x14ac:dyDescent="0.35">
      <c r="A140" s="37" t="str">
        <f t="shared" si="4"/>
        <v>42;2017</v>
      </c>
      <c r="C140" s="36">
        <v>43023</v>
      </c>
      <c r="D140" s="8" t="s">
        <v>50</v>
      </c>
      <c r="E140" s="152"/>
      <c r="F140" s="153"/>
      <c r="G140" s="154"/>
      <c r="H140" s="153"/>
      <c r="I140" s="154"/>
      <c r="J140" s="155"/>
      <c r="K140" s="9"/>
      <c r="L140" s="10"/>
      <c r="M140" s="11"/>
      <c r="N140" s="9"/>
      <c r="O140" s="10"/>
      <c r="P140" s="11"/>
      <c r="Q140" s="9"/>
      <c r="R140" s="10"/>
      <c r="S140" s="11"/>
      <c r="T140" s="12"/>
    </row>
    <row r="141" spans="1:20" x14ac:dyDescent="0.35">
      <c r="A141" s="37" t="str">
        <f t="shared" si="4"/>
        <v>42;2017</v>
      </c>
      <c r="C141" s="35">
        <v>43024</v>
      </c>
      <c r="D141" s="23" t="s">
        <v>44</v>
      </c>
      <c r="E141" s="157">
        <v>202</v>
      </c>
      <c r="F141" s="158"/>
      <c r="G141" s="133">
        <v>0</v>
      </c>
      <c r="H141" s="136"/>
      <c r="I141" s="133">
        <v>202</v>
      </c>
      <c r="J141" s="134"/>
      <c r="K141" s="24">
        <v>182</v>
      </c>
      <c r="L141" s="25">
        <v>0</v>
      </c>
      <c r="M141" s="26">
        <v>20</v>
      </c>
      <c r="N141" s="24">
        <v>79</v>
      </c>
      <c r="O141" s="25">
        <v>117</v>
      </c>
      <c r="P141" s="26">
        <v>6</v>
      </c>
      <c r="Q141" s="24">
        <v>1</v>
      </c>
      <c r="R141" s="25">
        <v>122</v>
      </c>
      <c r="S141" s="26">
        <v>79</v>
      </c>
      <c r="T141" s="27">
        <v>202</v>
      </c>
    </row>
    <row r="142" spans="1:20" x14ac:dyDescent="0.35">
      <c r="A142" s="37" t="str">
        <f t="shared" si="4"/>
        <v>42;2017</v>
      </c>
      <c r="C142" s="35">
        <v>43025</v>
      </c>
      <c r="D142" s="23" t="s">
        <v>45</v>
      </c>
      <c r="E142" s="156">
        <v>100</v>
      </c>
      <c r="F142" s="136"/>
      <c r="G142" s="133">
        <v>0</v>
      </c>
      <c r="H142" s="136"/>
      <c r="I142" s="133">
        <v>100</v>
      </c>
      <c r="J142" s="134"/>
      <c r="K142" s="24">
        <v>91</v>
      </c>
      <c r="L142" s="25">
        <v>0</v>
      </c>
      <c r="M142" s="26">
        <v>9</v>
      </c>
      <c r="N142" s="24">
        <v>43</v>
      </c>
      <c r="O142" s="25">
        <v>52</v>
      </c>
      <c r="P142" s="26">
        <v>5</v>
      </c>
      <c r="Q142" s="24">
        <v>4</v>
      </c>
      <c r="R142" s="25">
        <v>53</v>
      </c>
      <c r="S142" s="26">
        <v>43</v>
      </c>
      <c r="T142" s="27">
        <v>100</v>
      </c>
    </row>
    <row r="143" spans="1:20" x14ac:dyDescent="0.35">
      <c r="A143" s="37" t="str">
        <f t="shared" si="4"/>
        <v>42;2017</v>
      </c>
      <c r="C143" s="35">
        <v>43026</v>
      </c>
      <c r="D143" s="23" t="s">
        <v>46</v>
      </c>
      <c r="E143" s="156">
        <v>177</v>
      </c>
      <c r="F143" s="136"/>
      <c r="G143" s="133">
        <v>0</v>
      </c>
      <c r="H143" s="136"/>
      <c r="I143" s="133">
        <v>177</v>
      </c>
      <c r="J143" s="134"/>
      <c r="K143" s="24">
        <v>147</v>
      </c>
      <c r="L143" s="25">
        <v>0</v>
      </c>
      <c r="M143" s="26">
        <v>30</v>
      </c>
      <c r="N143" s="24">
        <v>70</v>
      </c>
      <c r="O143" s="25">
        <v>95</v>
      </c>
      <c r="P143" s="26">
        <v>12</v>
      </c>
      <c r="Q143" s="24">
        <v>6</v>
      </c>
      <c r="R143" s="25">
        <v>99</v>
      </c>
      <c r="S143" s="26">
        <v>72</v>
      </c>
      <c r="T143" s="27">
        <v>177</v>
      </c>
    </row>
    <row r="144" spans="1:20" x14ac:dyDescent="0.35">
      <c r="A144" s="37" t="str">
        <f t="shared" si="4"/>
        <v>42;2017</v>
      </c>
      <c r="C144" s="35">
        <v>43027</v>
      </c>
      <c r="D144" s="23" t="s">
        <v>47</v>
      </c>
      <c r="E144" s="156">
        <v>184</v>
      </c>
      <c r="F144" s="136"/>
      <c r="G144" s="133">
        <v>0</v>
      </c>
      <c r="H144" s="136"/>
      <c r="I144" s="133">
        <v>184</v>
      </c>
      <c r="J144" s="134"/>
      <c r="K144" s="24">
        <v>168</v>
      </c>
      <c r="L144" s="25">
        <v>0</v>
      </c>
      <c r="M144" s="26">
        <v>16</v>
      </c>
      <c r="N144" s="24">
        <v>64</v>
      </c>
      <c r="O144" s="25">
        <v>110</v>
      </c>
      <c r="P144" s="26">
        <v>10</v>
      </c>
      <c r="Q144" s="24">
        <v>3</v>
      </c>
      <c r="R144" s="25">
        <v>117</v>
      </c>
      <c r="S144" s="26">
        <v>64</v>
      </c>
      <c r="T144" s="27">
        <v>184</v>
      </c>
    </row>
    <row r="145" spans="1:20" x14ac:dyDescent="0.35">
      <c r="A145" s="37" t="str">
        <f t="shared" si="4"/>
        <v>42;2017</v>
      </c>
      <c r="C145" s="35">
        <v>43028</v>
      </c>
      <c r="D145" s="23" t="s">
        <v>48</v>
      </c>
      <c r="E145" s="156">
        <v>133</v>
      </c>
      <c r="F145" s="136"/>
      <c r="G145" s="133">
        <v>0</v>
      </c>
      <c r="H145" s="136"/>
      <c r="I145" s="133">
        <v>133</v>
      </c>
      <c r="J145" s="134"/>
      <c r="K145" s="24">
        <v>121</v>
      </c>
      <c r="L145" s="25">
        <v>0</v>
      </c>
      <c r="M145" s="26">
        <v>12</v>
      </c>
      <c r="N145" s="24">
        <v>54</v>
      </c>
      <c r="O145" s="25">
        <v>73</v>
      </c>
      <c r="P145" s="26">
        <v>6</v>
      </c>
      <c r="Q145" s="24">
        <v>5</v>
      </c>
      <c r="R145" s="25">
        <v>74</v>
      </c>
      <c r="S145" s="26">
        <v>54</v>
      </c>
      <c r="T145" s="27">
        <v>133</v>
      </c>
    </row>
    <row r="146" spans="1:20" x14ac:dyDescent="0.35">
      <c r="A146" s="37" t="str">
        <f t="shared" si="4"/>
        <v>42;2017</v>
      </c>
      <c r="C146" s="36">
        <v>43029</v>
      </c>
      <c r="D146" s="8" t="s">
        <v>49</v>
      </c>
      <c r="E146" s="152"/>
      <c r="F146" s="153"/>
      <c r="G146" s="154"/>
      <c r="H146" s="153"/>
      <c r="I146" s="154"/>
      <c r="J146" s="155"/>
      <c r="K146" s="9"/>
      <c r="L146" s="10"/>
      <c r="M146" s="11"/>
      <c r="N146" s="9"/>
      <c r="O146" s="10"/>
      <c r="P146" s="11"/>
      <c r="Q146" s="9"/>
      <c r="R146" s="10"/>
      <c r="S146" s="11"/>
      <c r="T146" s="12"/>
    </row>
    <row r="147" spans="1:20" x14ac:dyDescent="0.35">
      <c r="A147" s="37" t="str">
        <f t="shared" si="4"/>
        <v>43;2017</v>
      </c>
      <c r="C147" s="36">
        <v>43030</v>
      </c>
      <c r="D147" s="8" t="s">
        <v>50</v>
      </c>
      <c r="E147" s="152"/>
      <c r="F147" s="153"/>
      <c r="G147" s="154"/>
      <c r="H147" s="153"/>
      <c r="I147" s="154"/>
      <c r="J147" s="155"/>
      <c r="K147" s="9"/>
      <c r="L147" s="10"/>
      <c r="M147" s="11"/>
      <c r="N147" s="9"/>
      <c r="O147" s="10"/>
      <c r="P147" s="11"/>
      <c r="Q147" s="9"/>
      <c r="R147" s="10"/>
      <c r="S147" s="11"/>
      <c r="T147" s="12"/>
    </row>
    <row r="148" spans="1:20" x14ac:dyDescent="0.35">
      <c r="A148" s="37" t="str">
        <f t="shared" si="4"/>
        <v>43;2017</v>
      </c>
      <c r="C148" s="34">
        <v>43031</v>
      </c>
      <c r="D148" s="18" t="s">
        <v>44</v>
      </c>
      <c r="E148" s="156">
        <v>89</v>
      </c>
      <c r="F148" s="136"/>
      <c r="G148" s="133">
        <v>0</v>
      </c>
      <c r="H148" s="136"/>
      <c r="I148" s="133">
        <v>89</v>
      </c>
      <c r="J148" s="134"/>
      <c r="K148" s="19">
        <v>84</v>
      </c>
      <c r="L148" s="20">
        <v>0</v>
      </c>
      <c r="M148" s="21">
        <v>5</v>
      </c>
      <c r="N148" s="19">
        <v>38</v>
      </c>
      <c r="O148" s="20">
        <v>49</v>
      </c>
      <c r="P148" s="21">
        <v>2</v>
      </c>
      <c r="Q148" s="19">
        <v>2</v>
      </c>
      <c r="R148" s="20">
        <v>49</v>
      </c>
      <c r="S148" s="21">
        <v>38</v>
      </c>
      <c r="T148" s="22">
        <v>89</v>
      </c>
    </row>
    <row r="149" spans="1:20" x14ac:dyDescent="0.35">
      <c r="A149" s="37" t="str">
        <f t="shared" si="4"/>
        <v>43;2017</v>
      </c>
      <c r="C149" s="35">
        <v>43032</v>
      </c>
      <c r="D149" s="23" t="s">
        <v>45</v>
      </c>
      <c r="E149" s="156">
        <v>17</v>
      </c>
      <c r="F149" s="136"/>
      <c r="G149" s="133">
        <v>0</v>
      </c>
      <c r="H149" s="136"/>
      <c r="I149" s="133">
        <v>17</v>
      </c>
      <c r="J149" s="134"/>
      <c r="K149" s="24">
        <v>17</v>
      </c>
      <c r="L149" s="25">
        <v>0</v>
      </c>
      <c r="M149" s="26">
        <v>0</v>
      </c>
      <c r="N149" s="24">
        <v>6</v>
      </c>
      <c r="O149" s="25">
        <v>11</v>
      </c>
      <c r="P149" s="26">
        <v>0</v>
      </c>
      <c r="Q149" s="24">
        <v>0</v>
      </c>
      <c r="R149" s="25">
        <v>11</v>
      </c>
      <c r="S149" s="26">
        <v>6</v>
      </c>
      <c r="T149" s="27">
        <v>17</v>
      </c>
    </row>
    <row r="150" spans="1:20" x14ac:dyDescent="0.35">
      <c r="A150" s="37" t="str">
        <f t="shared" si="4"/>
        <v>43;2017</v>
      </c>
      <c r="C150" s="35">
        <v>43033</v>
      </c>
      <c r="D150" s="23" t="s">
        <v>46</v>
      </c>
      <c r="E150" s="156">
        <v>123</v>
      </c>
      <c r="F150" s="136"/>
      <c r="G150" s="133">
        <v>0</v>
      </c>
      <c r="H150" s="136"/>
      <c r="I150" s="133">
        <v>123</v>
      </c>
      <c r="J150" s="134"/>
      <c r="K150" s="24">
        <v>114</v>
      </c>
      <c r="L150" s="25">
        <v>0</v>
      </c>
      <c r="M150" s="26">
        <v>9</v>
      </c>
      <c r="N150" s="24">
        <v>46</v>
      </c>
      <c r="O150" s="25">
        <v>71</v>
      </c>
      <c r="P150" s="26">
        <v>6</v>
      </c>
      <c r="Q150" s="24">
        <v>0</v>
      </c>
      <c r="R150" s="25">
        <v>81</v>
      </c>
      <c r="S150" s="26">
        <v>42</v>
      </c>
      <c r="T150" s="27">
        <v>123</v>
      </c>
    </row>
    <row r="151" spans="1:20" x14ac:dyDescent="0.35">
      <c r="A151" s="37" t="str">
        <f t="shared" si="4"/>
        <v>43;2017</v>
      </c>
      <c r="C151" s="35">
        <v>43034</v>
      </c>
      <c r="D151" s="23" t="s">
        <v>47</v>
      </c>
      <c r="E151" s="156">
        <v>161</v>
      </c>
      <c r="F151" s="136"/>
      <c r="G151" s="133">
        <v>0</v>
      </c>
      <c r="H151" s="136"/>
      <c r="I151" s="133">
        <v>161</v>
      </c>
      <c r="J151" s="134"/>
      <c r="K151" s="24">
        <v>150</v>
      </c>
      <c r="L151" s="25">
        <v>0</v>
      </c>
      <c r="M151" s="26">
        <v>11</v>
      </c>
      <c r="N151" s="24">
        <v>61</v>
      </c>
      <c r="O151" s="25">
        <v>90</v>
      </c>
      <c r="P151" s="26">
        <v>10</v>
      </c>
      <c r="Q151" s="24">
        <v>5</v>
      </c>
      <c r="R151" s="25">
        <v>99</v>
      </c>
      <c r="S151" s="26">
        <v>57</v>
      </c>
      <c r="T151" s="27">
        <v>161</v>
      </c>
    </row>
    <row r="152" spans="1:20" x14ac:dyDescent="0.35">
      <c r="A152" s="37" t="str">
        <f t="shared" si="4"/>
        <v>43;2017</v>
      </c>
      <c r="C152" s="35">
        <v>43035</v>
      </c>
      <c r="D152" s="23" t="s">
        <v>48</v>
      </c>
      <c r="E152" s="156">
        <v>73</v>
      </c>
      <c r="F152" s="136"/>
      <c r="G152" s="133">
        <v>0</v>
      </c>
      <c r="H152" s="136"/>
      <c r="I152" s="133">
        <v>73</v>
      </c>
      <c r="J152" s="134"/>
      <c r="K152" s="24">
        <v>62</v>
      </c>
      <c r="L152" s="25">
        <v>0</v>
      </c>
      <c r="M152" s="26">
        <v>11</v>
      </c>
      <c r="N152" s="24">
        <v>30</v>
      </c>
      <c r="O152" s="25">
        <v>39</v>
      </c>
      <c r="P152" s="26">
        <v>4</v>
      </c>
      <c r="Q152" s="24">
        <v>1</v>
      </c>
      <c r="R152" s="25">
        <v>42</v>
      </c>
      <c r="S152" s="26">
        <v>30</v>
      </c>
      <c r="T152" s="27">
        <v>73</v>
      </c>
    </row>
    <row r="153" spans="1:20" x14ac:dyDescent="0.35">
      <c r="A153" s="37" t="str">
        <f t="shared" si="4"/>
        <v>43;2017</v>
      </c>
      <c r="C153" s="36">
        <v>43036</v>
      </c>
      <c r="D153" s="8" t="s">
        <v>49</v>
      </c>
      <c r="E153" s="152"/>
      <c r="F153" s="153"/>
      <c r="G153" s="154"/>
      <c r="H153" s="153"/>
      <c r="I153" s="154"/>
      <c r="J153" s="155"/>
      <c r="K153" s="9"/>
      <c r="L153" s="10"/>
      <c r="M153" s="11"/>
      <c r="N153" s="9"/>
      <c r="O153" s="10"/>
      <c r="P153" s="11"/>
      <c r="Q153" s="9"/>
      <c r="R153" s="10"/>
      <c r="S153" s="11"/>
      <c r="T153" s="12"/>
    </row>
    <row r="154" spans="1:20" x14ac:dyDescent="0.35">
      <c r="A154" s="37" t="str">
        <f t="shared" si="4"/>
        <v>44;2017</v>
      </c>
      <c r="C154" s="36">
        <v>43037</v>
      </c>
      <c r="D154" s="8" t="s">
        <v>50</v>
      </c>
      <c r="E154" s="152"/>
      <c r="F154" s="153"/>
      <c r="G154" s="154"/>
      <c r="H154" s="153"/>
      <c r="I154" s="154"/>
      <c r="J154" s="155"/>
      <c r="K154" s="9"/>
      <c r="L154" s="10"/>
      <c r="M154" s="11"/>
      <c r="N154" s="9"/>
      <c r="O154" s="10"/>
      <c r="P154" s="11"/>
      <c r="Q154" s="9"/>
      <c r="R154" s="10"/>
      <c r="S154" s="11"/>
      <c r="T154" s="12"/>
    </row>
    <row r="155" spans="1:20" x14ac:dyDescent="0.35">
      <c r="A155" s="37" t="str">
        <f t="shared" si="4"/>
        <v>44;2017</v>
      </c>
      <c r="C155" s="35">
        <v>43038</v>
      </c>
      <c r="D155" s="23" t="s">
        <v>44</v>
      </c>
      <c r="E155" s="157">
        <v>202</v>
      </c>
      <c r="F155" s="158"/>
      <c r="G155" s="133">
        <v>0</v>
      </c>
      <c r="H155" s="136"/>
      <c r="I155" s="133">
        <v>202</v>
      </c>
      <c r="J155" s="134"/>
      <c r="K155" s="24">
        <v>182</v>
      </c>
      <c r="L155" s="25">
        <v>0</v>
      </c>
      <c r="M155" s="26">
        <v>20</v>
      </c>
      <c r="N155" s="24">
        <v>79</v>
      </c>
      <c r="O155" s="25">
        <v>117</v>
      </c>
      <c r="P155" s="26">
        <v>6</v>
      </c>
      <c r="Q155" s="24">
        <v>1</v>
      </c>
      <c r="R155" s="25">
        <v>122</v>
      </c>
      <c r="S155" s="26">
        <v>79</v>
      </c>
      <c r="T155" s="27">
        <v>202</v>
      </c>
    </row>
    <row r="156" spans="1:20" x14ac:dyDescent="0.35">
      <c r="A156" s="37" t="str">
        <f t="shared" si="4"/>
        <v>44;2017</v>
      </c>
      <c r="C156" s="35">
        <v>43039</v>
      </c>
      <c r="D156" s="23" t="s">
        <v>45</v>
      </c>
      <c r="E156" s="156">
        <v>100</v>
      </c>
      <c r="F156" s="136"/>
      <c r="G156" s="133">
        <v>0</v>
      </c>
      <c r="H156" s="136"/>
      <c r="I156" s="133">
        <v>100</v>
      </c>
      <c r="J156" s="134"/>
      <c r="K156" s="24">
        <v>91</v>
      </c>
      <c r="L156" s="25">
        <v>0</v>
      </c>
      <c r="M156" s="26">
        <v>9</v>
      </c>
      <c r="N156" s="24">
        <v>43</v>
      </c>
      <c r="O156" s="25">
        <v>52</v>
      </c>
      <c r="P156" s="26">
        <v>5</v>
      </c>
      <c r="Q156" s="24">
        <v>4</v>
      </c>
      <c r="R156" s="25">
        <v>53</v>
      </c>
      <c r="S156" s="26">
        <v>43</v>
      </c>
      <c r="T156" s="27">
        <v>100</v>
      </c>
    </row>
    <row r="157" spans="1:20" x14ac:dyDescent="0.35">
      <c r="A157" s="37" t="str">
        <f t="shared" si="4"/>
        <v>44;2017</v>
      </c>
      <c r="C157" s="35">
        <v>43040</v>
      </c>
      <c r="D157" s="23" t="s">
        <v>46</v>
      </c>
      <c r="E157" s="156">
        <v>177</v>
      </c>
      <c r="F157" s="136"/>
      <c r="G157" s="133">
        <v>0</v>
      </c>
      <c r="H157" s="136"/>
      <c r="I157" s="133">
        <v>177</v>
      </c>
      <c r="J157" s="134"/>
      <c r="K157" s="24">
        <v>147</v>
      </c>
      <c r="L157" s="25">
        <v>0</v>
      </c>
      <c r="M157" s="26">
        <v>30</v>
      </c>
      <c r="N157" s="24">
        <v>70</v>
      </c>
      <c r="O157" s="25">
        <v>95</v>
      </c>
      <c r="P157" s="26">
        <v>12</v>
      </c>
      <c r="Q157" s="24">
        <v>6</v>
      </c>
      <c r="R157" s="25">
        <v>99</v>
      </c>
      <c r="S157" s="26">
        <v>72</v>
      </c>
      <c r="T157" s="27">
        <v>177</v>
      </c>
    </row>
    <row r="158" spans="1:20" x14ac:dyDescent="0.35">
      <c r="A158" s="37" t="str">
        <f t="shared" si="4"/>
        <v>44;2017</v>
      </c>
      <c r="C158" s="35">
        <v>43041</v>
      </c>
      <c r="D158" s="23" t="s">
        <v>47</v>
      </c>
      <c r="E158" s="156">
        <v>184</v>
      </c>
      <c r="F158" s="136"/>
      <c r="G158" s="133">
        <v>0</v>
      </c>
      <c r="H158" s="136"/>
      <c r="I158" s="133">
        <v>184</v>
      </c>
      <c r="J158" s="134"/>
      <c r="K158" s="24">
        <v>168</v>
      </c>
      <c r="L158" s="25">
        <v>0</v>
      </c>
      <c r="M158" s="26">
        <v>16</v>
      </c>
      <c r="N158" s="24">
        <v>64</v>
      </c>
      <c r="O158" s="25">
        <v>110</v>
      </c>
      <c r="P158" s="26">
        <v>10</v>
      </c>
      <c r="Q158" s="24">
        <v>3</v>
      </c>
      <c r="R158" s="25">
        <v>117</v>
      </c>
      <c r="S158" s="26">
        <v>64</v>
      </c>
      <c r="T158" s="27">
        <v>184</v>
      </c>
    </row>
    <row r="159" spans="1:20" x14ac:dyDescent="0.35">
      <c r="A159" s="37" t="str">
        <f t="shared" si="4"/>
        <v>44;2017</v>
      </c>
      <c r="C159" s="35">
        <v>43042</v>
      </c>
      <c r="D159" s="23" t="s">
        <v>48</v>
      </c>
      <c r="E159" s="156">
        <v>133</v>
      </c>
      <c r="F159" s="136"/>
      <c r="G159" s="133">
        <v>0</v>
      </c>
      <c r="H159" s="136"/>
      <c r="I159" s="133">
        <v>133</v>
      </c>
      <c r="J159" s="134"/>
      <c r="K159" s="24">
        <v>121</v>
      </c>
      <c r="L159" s="25">
        <v>0</v>
      </c>
      <c r="M159" s="26">
        <v>12</v>
      </c>
      <c r="N159" s="24">
        <v>54</v>
      </c>
      <c r="O159" s="25">
        <v>73</v>
      </c>
      <c r="P159" s="26">
        <v>6</v>
      </c>
      <c r="Q159" s="24">
        <v>5</v>
      </c>
      <c r="R159" s="25">
        <v>74</v>
      </c>
      <c r="S159" s="26">
        <v>54</v>
      </c>
      <c r="T159" s="27">
        <v>133</v>
      </c>
    </row>
    <row r="160" spans="1:20" x14ac:dyDescent="0.35">
      <c r="A160" s="37" t="str">
        <f t="shared" si="4"/>
        <v>44;2017</v>
      </c>
      <c r="C160" s="36">
        <v>43043</v>
      </c>
      <c r="D160" s="8" t="s">
        <v>49</v>
      </c>
      <c r="E160" s="152"/>
      <c r="F160" s="153"/>
      <c r="G160" s="154"/>
      <c r="H160" s="153"/>
      <c r="I160" s="154"/>
      <c r="J160" s="155"/>
      <c r="K160" s="9"/>
      <c r="L160" s="10"/>
      <c r="M160" s="11"/>
      <c r="N160" s="9"/>
      <c r="O160" s="10"/>
      <c r="P160" s="11"/>
      <c r="Q160" s="9"/>
      <c r="R160" s="10"/>
      <c r="S160" s="11"/>
      <c r="T160" s="12"/>
    </row>
    <row r="161" spans="1:21" x14ac:dyDescent="0.35">
      <c r="A161" s="37" t="str">
        <f t="shared" si="4"/>
        <v>45;2017</v>
      </c>
      <c r="C161" s="36">
        <v>43044</v>
      </c>
      <c r="D161" s="8" t="s">
        <v>50</v>
      </c>
      <c r="E161" s="152"/>
      <c r="F161" s="153"/>
      <c r="G161" s="154"/>
      <c r="H161" s="153"/>
      <c r="I161" s="154"/>
      <c r="J161" s="155"/>
      <c r="K161" s="9"/>
      <c r="L161" s="10"/>
      <c r="M161" s="11"/>
      <c r="N161" s="9"/>
      <c r="O161" s="10"/>
      <c r="P161" s="11"/>
      <c r="Q161" s="9"/>
      <c r="R161" s="10"/>
      <c r="S161" s="11"/>
      <c r="T161" s="12"/>
    </row>
    <row r="162" spans="1:21" x14ac:dyDescent="0.35">
      <c r="A162" s="37" t="str">
        <f t="shared" si="4"/>
        <v>45;2017</v>
      </c>
      <c r="C162" s="34">
        <v>43045</v>
      </c>
      <c r="D162" s="18" t="s">
        <v>44</v>
      </c>
      <c r="E162" s="156">
        <v>89</v>
      </c>
      <c r="F162" s="136"/>
      <c r="G162" s="133">
        <v>0</v>
      </c>
      <c r="H162" s="136"/>
      <c r="I162" s="133">
        <v>89</v>
      </c>
      <c r="J162" s="134"/>
      <c r="K162" s="19">
        <v>84</v>
      </c>
      <c r="L162" s="20">
        <v>0</v>
      </c>
      <c r="M162" s="21">
        <v>5</v>
      </c>
      <c r="N162" s="19">
        <v>38</v>
      </c>
      <c r="O162" s="20">
        <v>49</v>
      </c>
      <c r="P162" s="21">
        <v>2</v>
      </c>
      <c r="Q162" s="19">
        <v>2</v>
      </c>
      <c r="R162" s="20">
        <v>49</v>
      </c>
      <c r="S162" s="21">
        <v>38</v>
      </c>
      <c r="T162" s="22">
        <v>89</v>
      </c>
    </row>
    <row r="163" spans="1:21" x14ac:dyDescent="0.35">
      <c r="A163" s="37" t="str">
        <f t="shared" si="4"/>
        <v>45;2017</v>
      </c>
      <c r="C163" s="35">
        <v>43046</v>
      </c>
      <c r="D163" s="23" t="s">
        <v>45</v>
      </c>
      <c r="E163" s="156">
        <v>17</v>
      </c>
      <c r="F163" s="136"/>
      <c r="G163" s="133">
        <v>0</v>
      </c>
      <c r="H163" s="136"/>
      <c r="I163" s="133">
        <v>17</v>
      </c>
      <c r="J163" s="134"/>
      <c r="K163" s="24">
        <v>17</v>
      </c>
      <c r="L163" s="25">
        <v>0</v>
      </c>
      <c r="M163" s="26">
        <v>0</v>
      </c>
      <c r="N163" s="24">
        <v>6</v>
      </c>
      <c r="O163" s="25">
        <v>11</v>
      </c>
      <c r="P163" s="26">
        <v>0</v>
      </c>
      <c r="Q163" s="24">
        <v>0</v>
      </c>
      <c r="R163" s="25">
        <v>11</v>
      </c>
      <c r="S163" s="26">
        <v>6</v>
      </c>
      <c r="T163" s="27">
        <v>17</v>
      </c>
    </row>
    <row r="164" spans="1:21" x14ac:dyDescent="0.35">
      <c r="A164" s="37" t="str">
        <f t="shared" si="4"/>
        <v>45;2017</v>
      </c>
      <c r="C164" s="35">
        <v>43047</v>
      </c>
      <c r="D164" s="23" t="s">
        <v>46</v>
      </c>
      <c r="E164" s="156">
        <v>123</v>
      </c>
      <c r="F164" s="136"/>
      <c r="G164" s="133">
        <v>0</v>
      </c>
      <c r="H164" s="136"/>
      <c r="I164" s="133">
        <v>123</v>
      </c>
      <c r="J164" s="134"/>
      <c r="K164" s="24">
        <v>114</v>
      </c>
      <c r="L164" s="25">
        <v>0</v>
      </c>
      <c r="M164" s="26">
        <v>9</v>
      </c>
      <c r="N164" s="24">
        <v>46</v>
      </c>
      <c r="O164" s="25">
        <v>71</v>
      </c>
      <c r="P164" s="26">
        <v>6</v>
      </c>
      <c r="Q164" s="24">
        <v>0</v>
      </c>
      <c r="R164" s="25">
        <v>81</v>
      </c>
      <c r="S164" s="26">
        <v>42</v>
      </c>
      <c r="T164" s="27">
        <v>123</v>
      </c>
    </row>
    <row r="165" spans="1:21" x14ac:dyDescent="0.35">
      <c r="A165" s="37" t="str">
        <f t="shared" si="4"/>
        <v>45;2017</v>
      </c>
      <c r="C165" s="35">
        <v>43048</v>
      </c>
      <c r="D165" s="23" t="s">
        <v>47</v>
      </c>
      <c r="E165" s="156">
        <v>161</v>
      </c>
      <c r="F165" s="136"/>
      <c r="G165" s="133">
        <v>0</v>
      </c>
      <c r="H165" s="136"/>
      <c r="I165" s="133">
        <v>161</v>
      </c>
      <c r="J165" s="134"/>
      <c r="K165" s="24">
        <v>150</v>
      </c>
      <c r="L165" s="25">
        <v>0</v>
      </c>
      <c r="M165" s="26">
        <v>11</v>
      </c>
      <c r="N165" s="24">
        <v>61</v>
      </c>
      <c r="O165" s="25">
        <v>90</v>
      </c>
      <c r="P165" s="26">
        <v>10</v>
      </c>
      <c r="Q165" s="24">
        <v>5</v>
      </c>
      <c r="R165" s="25">
        <v>99</v>
      </c>
      <c r="S165" s="26">
        <v>57</v>
      </c>
      <c r="T165" s="27">
        <v>161</v>
      </c>
    </row>
    <row r="166" spans="1:21" x14ac:dyDescent="0.35">
      <c r="A166" s="37" t="str">
        <f t="shared" si="4"/>
        <v>45;2017</v>
      </c>
      <c r="C166" s="35">
        <v>43049</v>
      </c>
      <c r="D166" s="23" t="s">
        <v>48</v>
      </c>
      <c r="E166" s="156">
        <v>73</v>
      </c>
      <c r="F166" s="136"/>
      <c r="G166" s="133">
        <v>0</v>
      </c>
      <c r="H166" s="136"/>
      <c r="I166" s="133">
        <v>73</v>
      </c>
      <c r="J166" s="134"/>
      <c r="K166" s="24">
        <v>62</v>
      </c>
      <c r="L166" s="25">
        <v>0</v>
      </c>
      <c r="M166" s="26">
        <v>11</v>
      </c>
      <c r="N166" s="24">
        <v>30</v>
      </c>
      <c r="O166" s="25">
        <v>39</v>
      </c>
      <c r="P166" s="26">
        <v>4</v>
      </c>
      <c r="Q166" s="24">
        <v>1</v>
      </c>
      <c r="R166" s="25">
        <v>42</v>
      </c>
      <c r="S166" s="26">
        <v>30</v>
      </c>
      <c r="T166" s="27">
        <v>73</v>
      </c>
    </row>
    <row r="167" spans="1:21" x14ac:dyDescent="0.35">
      <c r="A167" s="37" t="str">
        <f t="shared" si="4"/>
        <v>45;2017</v>
      </c>
      <c r="C167" s="36">
        <v>43050</v>
      </c>
      <c r="D167" s="8" t="s">
        <v>49</v>
      </c>
      <c r="E167" s="152"/>
      <c r="F167" s="153"/>
      <c r="G167" s="154"/>
      <c r="H167" s="153"/>
      <c r="I167" s="154"/>
      <c r="J167" s="155"/>
      <c r="K167" s="9"/>
      <c r="L167" s="10"/>
      <c r="M167" s="11"/>
      <c r="N167" s="9"/>
      <c r="O167" s="10"/>
      <c r="P167" s="11"/>
      <c r="Q167" s="9"/>
      <c r="R167" s="10"/>
      <c r="S167" s="11"/>
      <c r="T167" s="12"/>
    </row>
    <row r="168" spans="1:21" x14ac:dyDescent="0.35">
      <c r="A168" s="37" t="str">
        <f t="shared" si="4"/>
        <v>46;2017</v>
      </c>
      <c r="C168" s="36">
        <v>43051</v>
      </c>
      <c r="D168" s="8" t="s">
        <v>50</v>
      </c>
      <c r="E168" s="152"/>
      <c r="F168" s="153"/>
      <c r="G168" s="154"/>
      <c r="H168" s="153"/>
      <c r="I168" s="154"/>
      <c r="J168" s="155"/>
      <c r="K168" s="9"/>
      <c r="L168" s="10"/>
      <c r="M168" s="11"/>
      <c r="N168" s="9"/>
      <c r="O168" s="10"/>
      <c r="P168" s="11"/>
      <c r="Q168" s="9"/>
      <c r="R168" s="10"/>
      <c r="S168" s="11"/>
      <c r="T168" s="12"/>
    </row>
    <row r="169" spans="1:21" x14ac:dyDescent="0.35">
      <c r="A169" s="37" t="str">
        <f t="shared" si="4"/>
        <v>46;2017</v>
      </c>
      <c r="C169" s="35">
        <v>43052</v>
      </c>
      <c r="D169" s="23" t="s">
        <v>44</v>
      </c>
      <c r="E169" s="157">
        <v>202</v>
      </c>
      <c r="F169" s="158"/>
      <c r="G169" s="133">
        <v>0</v>
      </c>
      <c r="H169" s="136"/>
      <c r="I169" s="133">
        <v>202</v>
      </c>
      <c r="J169" s="134"/>
      <c r="K169" s="24">
        <v>182</v>
      </c>
      <c r="L169" s="25">
        <v>0</v>
      </c>
      <c r="M169" s="26">
        <v>20</v>
      </c>
      <c r="N169" s="24">
        <v>79</v>
      </c>
      <c r="O169" s="25">
        <v>117</v>
      </c>
      <c r="P169" s="26">
        <v>6</v>
      </c>
      <c r="Q169" s="24">
        <v>1</v>
      </c>
      <c r="R169" s="25">
        <v>122</v>
      </c>
      <c r="S169" s="26">
        <v>79</v>
      </c>
      <c r="T169" s="27">
        <v>202</v>
      </c>
    </row>
    <row r="170" spans="1:21" x14ac:dyDescent="0.35">
      <c r="A170" s="37" t="str">
        <f t="shared" si="4"/>
        <v>46;2017</v>
      </c>
      <c r="C170" s="35">
        <v>43053</v>
      </c>
      <c r="D170" s="23" t="s">
        <v>45</v>
      </c>
      <c r="E170" s="156">
        <v>100</v>
      </c>
      <c r="F170" s="136"/>
      <c r="G170" s="133">
        <v>0</v>
      </c>
      <c r="H170" s="136"/>
      <c r="I170" s="133">
        <v>100</v>
      </c>
      <c r="J170" s="134"/>
      <c r="K170" s="24">
        <v>91</v>
      </c>
      <c r="L170" s="25">
        <v>0</v>
      </c>
      <c r="M170" s="26">
        <v>9</v>
      </c>
      <c r="N170" s="24">
        <v>43</v>
      </c>
      <c r="O170" s="25">
        <v>52</v>
      </c>
      <c r="P170" s="26">
        <v>5</v>
      </c>
      <c r="Q170" s="24">
        <v>4</v>
      </c>
      <c r="R170" s="25">
        <v>53</v>
      </c>
      <c r="S170" s="26">
        <v>43</v>
      </c>
      <c r="T170" s="27">
        <v>100</v>
      </c>
    </row>
    <row r="171" spans="1:21" x14ac:dyDescent="0.35">
      <c r="A171" s="37" t="str">
        <f t="shared" si="4"/>
        <v>46;2017</v>
      </c>
      <c r="C171" s="35">
        <v>43054</v>
      </c>
      <c r="D171" s="23" t="s">
        <v>46</v>
      </c>
      <c r="E171" s="156">
        <v>177</v>
      </c>
      <c r="F171" s="136"/>
      <c r="G171" s="133">
        <v>0</v>
      </c>
      <c r="H171" s="136"/>
      <c r="I171" s="133">
        <v>177</v>
      </c>
      <c r="J171" s="134"/>
      <c r="K171" s="24">
        <v>147</v>
      </c>
      <c r="L171" s="25">
        <v>0</v>
      </c>
      <c r="M171" s="26">
        <v>30</v>
      </c>
      <c r="N171" s="24">
        <v>70</v>
      </c>
      <c r="O171" s="25">
        <v>95</v>
      </c>
      <c r="P171" s="26">
        <v>12</v>
      </c>
      <c r="Q171" s="24">
        <v>6</v>
      </c>
      <c r="R171" s="25">
        <v>99</v>
      </c>
      <c r="S171" s="26">
        <v>72</v>
      </c>
      <c r="T171" s="27">
        <v>177</v>
      </c>
    </row>
    <row r="172" spans="1:21" x14ac:dyDescent="0.35">
      <c r="A172" s="37" t="str">
        <f t="shared" si="4"/>
        <v>46;2017</v>
      </c>
      <c r="C172" s="35">
        <v>43055</v>
      </c>
      <c r="D172" s="23" t="s">
        <v>47</v>
      </c>
      <c r="E172" s="156">
        <v>184</v>
      </c>
      <c r="F172" s="136"/>
      <c r="G172" s="133">
        <v>0</v>
      </c>
      <c r="H172" s="136"/>
      <c r="I172" s="133">
        <v>184</v>
      </c>
      <c r="J172" s="134"/>
      <c r="K172" s="24">
        <v>168</v>
      </c>
      <c r="L172" s="25">
        <v>0</v>
      </c>
      <c r="M172" s="26">
        <v>16</v>
      </c>
      <c r="N172" s="24">
        <v>64</v>
      </c>
      <c r="O172" s="25">
        <v>110</v>
      </c>
      <c r="P172" s="26">
        <v>10</v>
      </c>
      <c r="Q172" s="24">
        <v>3</v>
      </c>
      <c r="R172" s="25">
        <v>117</v>
      </c>
      <c r="S172" s="26">
        <v>64</v>
      </c>
      <c r="T172" s="27">
        <v>184</v>
      </c>
    </row>
    <row r="173" spans="1:21" x14ac:dyDescent="0.35">
      <c r="A173" s="37" t="str">
        <f t="shared" si="4"/>
        <v>46;2017</v>
      </c>
      <c r="C173" s="35">
        <v>43056</v>
      </c>
      <c r="D173" s="23" t="s">
        <v>48</v>
      </c>
      <c r="E173" s="156">
        <v>133</v>
      </c>
      <c r="F173" s="136"/>
      <c r="G173" s="133">
        <v>0</v>
      </c>
      <c r="H173" s="136"/>
      <c r="I173" s="133">
        <v>133</v>
      </c>
      <c r="J173" s="134"/>
      <c r="K173" s="24">
        <v>121</v>
      </c>
      <c r="L173" s="25">
        <v>0</v>
      </c>
      <c r="M173" s="26">
        <v>12</v>
      </c>
      <c r="N173" s="24">
        <v>54</v>
      </c>
      <c r="O173" s="25">
        <v>73</v>
      </c>
      <c r="P173" s="26">
        <v>6</v>
      </c>
      <c r="Q173" s="24">
        <v>5</v>
      </c>
      <c r="R173" s="25">
        <v>74</v>
      </c>
      <c r="S173" s="26">
        <v>54</v>
      </c>
      <c r="T173" s="27">
        <v>133</v>
      </c>
    </row>
    <row r="174" spans="1:21" x14ac:dyDescent="0.35">
      <c r="A174" s="37" t="str">
        <f t="shared" si="4"/>
        <v>46;2017</v>
      </c>
      <c r="C174" s="36">
        <v>43057</v>
      </c>
      <c r="D174" s="8" t="s">
        <v>49</v>
      </c>
      <c r="E174" s="152"/>
      <c r="F174" s="153"/>
      <c r="G174" s="154"/>
      <c r="H174" s="153"/>
      <c r="I174" s="154"/>
      <c r="J174" s="155"/>
      <c r="K174" s="9"/>
      <c r="L174" s="10"/>
      <c r="M174" s="11"/>
      <c r="N174" s="9"/>
      <c r="O174" s="10"/>
      <c r="P174" s="11"/>
      <c r="Q174" s="9"/>
      <c r="R174" s="10"/>
      <c r="S174" s="11"/>
      <c r="T174" s="12"/>
    </row>
    <row r="175" spans="1:21" x14ac:dyDescent="0.35">
      <c r="A175" s="37" t="str">
        <f t="shared" si="4"/>
        <v>47;2017</v>
      </c>
      <c r="C175" s="36">
        <v>43058</v>
      </c>
      <c r="D175" s="8" t="s">
        <v>50</v>
      </c>
      <c r="E175" s="152"/>
      <c r="F175" s="153"/>
      <c r="G175" s="154"/>
      <c r="H175" s="153"/>
      <c r="I175" s="154"/>
      <c r="J175" s="155"/>
      <c r="K175" s="9"/>
      <c r="L175" s="10"/>
      <c r="M175" s="11"/>
      <c r="N175" s="9"/>
      <c r="O175" s="10"/>
      <c r="P175" s="11"/>
      <c r="Q175" s="9"/>
      <c r="R175" s="10"/>
      <c r="S175" s="11"/>
      <c r="T175" s="12"/>
    </row>
    <row r="176" spans="1:21" x14ac:dyDescent="0.35">
      <c r="Q176"/>
      <c r="R176"/>
      <c r="S176"/>
      <c r="T176"/>
      <c r="U176"/>
    </row>
    <row r="177" spans="17:21" x14ac:dyDescent="0.35">
      <c r="Q177"/>
      <c r="R177"/>
      <c r="S177"/>
      <c r="T177"/>
      <c r="U177"/>
    </row>
    <row r="178" spans="17:21" x14ac:dyDescent="0.35">
      <c r="Q178"/>
      <c r="R178"/>
      <c r="S178"/>
      <c r="T178"/>
      <c r="U178"/>
    </row>
    <row r="179" spans="17:21" x14ac:dyDescent="0.35">
      <c r="Q179"/>
      <c r="R179"/>
      <c r="S179"/>
      <c r="T179"/>
      <c r="U179"/>
    </row>
    <row r="180" spans="17:21" x14ac:dyDescent="0.35">
      <c r="Q180"/>
      <c r="R180"/>
      <c r="S180"/>
      <c r="T180"/>
      <c r="U180"/>
    </row>
    <row r="181" spans="17:21" x14ac:dyDescent="0.35">
      <c r="Q181"/>
      <c r="R181"/>
      <c r="S181"/>
      <c r="T181"/>
      <c r="U181"/>
    </row>
    <row r="182" spans="17:21" x14ac:dyDescent="0.35">
      <c r="Q182"/>
      <c r="R182"/>
      <c r="S182"/>
      <c r="T182"/>
      <c r="U182"/>
    </row>
    <row r="183" spans="17:21" x14ac:dyDescent="0.35">
      <c r="Q183"/>
      <c r="R183"/>
      <c r="S183"/>
      <c r="T183"/>
      <c r="U183"/>
    </row>
    <row r="184" spans="17:21" x14ac:dyDescent="0.35">
      <c r="Q184"/>
      <c r="R184"/>
      <c r="S184"/>
      <c r="T184"/>
      <c r="U184"/>
    </row>
    <row r="185" spans="17:21" x14ac:dyDescent="0.35">
      <c r="Q185"/>
      <c r="R185"/>
      <c r="S185"/>
      <c r="T185"/>
      <c r="U185"/>
    </row>
    <row r="186" spans="17:21" x14ac:dyDescent="0.35">
      <c r="Q186"/>
      <c r="R186"/>
      <c r="S186"/>
      <c r="T186"/>
      <c r="U186"/>
    </row>
    <row r="187" spans="17:21" x14ac:dyDescent="0.35">
      <c r="Q187"/>
      <c r="R187"/>
      <c r="S187"/>
      <c r="T187"/>
      <c r="U187"/>
    </row>
    <row r="188" spans="17:21" x14ac:dyDescent="0.35">
      <c r="Q188"/>
      <c r="R188"/>
      <c r="S188"/>
      <c r="T188"/>
      <c r="U188"/>
    </row>
    <row r="189" spans="17:21" x14ac:dyDescent="0.35">
      <c r="Q189"/>
      <c r="R189"/>
      <c r="S189"/>
      <c r="T189"/>
      <c r="U189"/>
    </row>
    <row r="190" spans="17:21" x14ac:dyDescent="0.35">
      <c r="Q190"/>
      <c r="R190"/>
      <c r="S190"/>
      <c r="T190"/>
      <c r="U190"/>
    </row>
    <row r="191" spans="17:21" x14ac:dyDescent="0.35">
      <c r="Q191"/>
      <c r="R191"/>
      <c r="S191"/>
      <c r="T191"/>
      <c r="U191"/>
    </row>
    <row r="192" spans="17:21" x14ac:dyDescent="0.35">
      <c r="Q192"/>
      <c r="R192"/>
      <c r="S192"/>
      <c r="T192"/>
      <c r="U192"/>
    </row>
    <row r="193" spans="17:21" x14ac:dyDescent="0.35">
      <c r="Q193"/>
      <c r="R193"/>
      <c r="S193"/>
      <c r="T193"/>
      <c r="U193"/>
    </row>
    <row r="194" spans="17:21" x14ac:dyDescent="0.35">
      <c r="Q194"/>
      <c r="R194"/>
      <c r="S194"/>
      <c r="T194"/>
      <c r="U194"/>
    </row>
    <row r="195" spans="17:21" x14ac:dyDescent="0.35">
      <c r="Q195"/>
      <c r="R195"/>
      <c r="S195"/>
      <c r="T195"/>
      <c r="U195"/>
    </row>
    <row r="196" spans="17:21" x14ac:dyDescent="0.35">
      <c r="Q196"/>
      <c r="R196"/>
      <c r="S196"/>
      <c r="T196"/>
      <c r="U196"/>
    </row>
    <row r="197" spans="17:21" x14ac:dyDescent="0.35">
      <c r="Q197"/>
      <c r="R197"/>
      <c r="S197"/>
      <c r="T197"/>
      <c r="U197"/>
    </row>
    <row r="198" spans="17:21" x14ac:dyDescent="0.35">
      <c r="Q198"/>
      <c r="R198"/>
      <c r="S198"/>
      <c r="T198"/>
      <c r="U198"/>
    </row>
    <row r="199" spans="17:21" x14ac:dyDescent="0.35">
      <c r="Q199"/>
      <c r="R199"/>
      <c r="S199"/>
      <c r="T199"/>
      <c r="U199"/>
    </row>
    <row r="200" spans="17:21" x14ac:dyDescent="0.35">
      <c r="Q200"/>
      <c r="R200"/>
      <c r="S200"/>
      <c r="T200"/>
      <c r="U200"/>
    </row>
    <row r="201" spans="17:21" x14ac:dyDescent="0.35">
      <c r="Q201"/>
      <c r="R201"/>
      <c r="S201"/>
      <c r="T201"/>
      <c r="U201"/>
    </row>
    <row r="202" spans="17:21" x14ac:dyDescent="0.35">
      <c r="Q202"/>
      <c r="R202"/>
      <c r="S202"/>
      <c r="T202"/>
      <c r="U202"/>
    </row>
    <row r="203" spans="17:21" x14ac:dyDescent="0.35">
      <c r="Q203"/>
      <c r="R203"/>
      <c r="S203"/>
      <c r="T203"/>
      <c r="U203"/>
    </row>
    <row r="204" spans="17:21" x14ac:dyDescent="0.35">
      <c r="Q204"/>
      <c r="R204"/>
      <c r="S204"/>
      <c r="T204"/>
      <c r="U204"/>
    </row>
    <row r="205" spans="17:21" x14ac:dyDescent="0.35">
      <c r="Q205"/>
      <c r="R205"/>
      <c r="S205"/>
      <c r="T205"/>
      <c r="U205"/>
    </row>
    <row r="206" spans="17:21" x14ac:dyDescent="0.35">
      <c r="Q206"/>
      <c r="R206"/>
      <c r="S206"/>
      <c r="T206"/>
      <c r="U206"/>
    </row>
    <row r="207" spans="17:21" x14ac:dyDescent="0.35">
      <c r="Q207"/>
      <c r="R207"/>
      <c r="S207"/>
      <c r="T207"/>
      <c r="U207"/>
    </row>
    <row r="208" spans="17:21" x14ac:dyDescent="0.35">
      <c r="Q208"/>
      <c r="R208"/>
      <c r="S208"/>
      <c r="T208"/>
      <c r="U208"/>
    </row>
    <row r="209" spans="17:21" x14ac:dyDescent="0.35">
      <c r="Q209"/>
      <c r="R209"/>
      <c r="S209"/>
      <c r="T209"/>
      <c r="U209"/>
    </row>
    <row r="210" spans="17:21" x14ac:dyDescent="0.35">
      <c r="Q210"/>
      <c r="R210"/>
      <c r="S210"/>
      <c r="T210"/>
      <c r="U210"/>
    </row>
    <row r="211" spans="17:21" x14ac:dyDescent="0.35">
      <c r="Q211"/>
      <c r="R211"/>
      <c r="S211"/>
      <c r="T211"/>
      <c r="U211"/>
    </row>
    <row r="212" spans="17:21" x14ac:dyDescent="0.35">
      <c r="Q212"/>
      <c r="R212"/>
      <c r="S212"/>
      <c r="T212"/>
      <c r="U212"/>
    </row>
    <row r="213" spans="17:21" x14ac:dyDescent="0.35">
      <c r="Q213"/>
      <c r="R213"/>
      <c r="S213"/>
      <c r="T213"/>
      <c r="U213"/>
    </row>
    <row r="214" spans="17:21" x14ac:dyDescent="0.35">
      <c r="Q214"/>
      <c r="R214"/>
      <c r="S214"/>
      <c r="T214"/>
      <c r="U214"/>
    </row>
    <row r="215" spans="17:21" x14ac:dyDescent="0.35">
      <c r="Q215"/>
      <c r="R215"/>
      <c r="S215"/>
      <c r="T215"/>
      <c r="U215"/>
    </row>
    <row r="216" spans="17:21" x14ac:dyDescent="0.35">
      <c r="Q216"/>
      <c r="R216"/>
      <c r="S216"/>
      <c r="T216"/>
      <c r="U216"/>
    </row>
    <row r="217" spans="17:21" x14ac:dyDescent="0.35">
      <c r="Q217"/>
      <c r="R217"/>
      <c r="S217"/>
      <c r="T217"/>
      <c r="U217"/>
    </row>
    <row r="218" spans="17:21" x14ac:dyDescent="0.35">
      <c r="Q218"/>
      <c r="R218"/>
      <c r="S218"/>
      <c r="T218"/>
      <c r="U218"/>
    </row>
    <row r="219" spans="17:21" x14ac:dyDescent="0.35">
      <c r="Q219"/>
      <c r="R219"/>
      <c r="S219"/>
      <c r="T219"/>
      <c r="U219"/>
    </row>
    <row r="220" spans="17:21" x14ac:dyDescent="0.35">
      <c r="Q220"/>
      <c r="R220"/>
      <c r="S220"/>
      <c r="T220"/>
      <c r="U220"/>
    </row>
    <row r="221" spans="17:21" x14ac:dyDescent="0.35">
      <c r="Q221"/>
      <c r="R221"/>
      <c r="S221"/>
      <c r="T221"/>
      <c r="U221"/>
    </row>
    <row r="222" spans="17:21" x14ac:dyDescent="0.35">
      <c r="Q222"/>
      <c r="R222"/>
      <c r="S222"/>
      <c r="T222"/>
      <c r="U222"/>
    </row>
    <row r="223" spans="17:21" x14ac:dyDescent="0.35">
      <c r="Q223"/>
      <c r="R223"/>
      <c r="S223"/>
      <c r="T223"/>
      <c r="U223"/>
    </row>
    <row r="224" spans="17:21" x14ac:dyDescent="0.35">
      <c r="Q224"/>
      <c r="R224"/>
      <c r="S224"/>
      <c r="T224"/>
      <c r="U224"/>
    </row>
    <row r="225" spans="17:21" x14ac:dyDescent="0.35">
      <c r="Q225"/>
      <c r="R225"/>
      <c r="S225"/>
      <c r="T225"/>
      <c r="U225"/>
    </row>
    <row r="226" spans="17:21" x14ac:dyDescent="0.35">
      <c r="Q226"/>
      <c r="R226"/>
      <c r="S226"/>
      <c r="T226"/>
      <c r="U226"/>
    </row>
    <row r="227" spans="17:21" x14ac:dyDescent="0.35">
      <c r="Q227"/>
      <c r="R227"/>
      <c r="S227"/>
      <c r="T227"/>
      <c r="U227"/>
    </row>
    <row r="228" spans="17:21" x14ac:dyDescent="0.35">
      <c r="Q228"/>
      <c r="R228"/>
      <c r="S228"/>
      <c r="T228"/>
      <c r="U228"/>
    </row>
    <row r="229" spans="17:21" x14ac:dyDescent="0.35">
      <c r="Q229"/>
      <c r="R229"/>
      <c r="S229"/>
      <c r="T229"/>
      <c r="U229"/>
    </row>
    <row r="230" spans="17:21" x14ac:dyDescent="0.35">
      <c r="Q230"/>
      <c r="R230"/>
      <c r="S230"/>
      <c r="T230"/>
      <c r="U230"/>
    </row>
    <row r="231" spans="17:21" x14ac:dyDescent="0.35">
      <c r="Q231"/>
      <c r="R231"/>
      <c r="S231"/>
      <c r="T231"/>
      <c r="U231"/>
    </row>
    <row r="232" spans="17:21" x14ac:dyDescent="0.35">
      <c r="Q232"/>
      <c r="R232"/>
      <c r="S232"/>
      <c r="T232"/>
      <c r="U232"/>
    </row>
    <row r="233" spans="17:21" x14ac:dyDescent="0.35">
      <c r="Q233"/>
      <c r="R233"/>
      <c r="S233"/>
      <c r="T233"/>
      <c r="U233"/>
    </row>
    <row r="234" spans="17:21" x14ac:dyDescent="0.35">
      <c r="Q234"/>
      <c r="R234"/>
      <c r="S234"/>
      <c r="T234"/>
      <c r="U234"/>
    </row>
    <row r="235" spans="17:21" x14ac:dyDescent="0.35">
      <c r="Q235"/>
      <c r="R235"/>
      <c r="S235"/>
      <c r="T235"/>
      <c r="U235"/>
    </row>
    <row r="236" spans="17:21" x14ac:dyDescent="0.35">
      <c r="Q236"/>
      <c r="R236"/>
      <c r="S236"/>
      <c r="T236"/>
      <c r="U236"/>
    </row>
    <row r="237" spans="17:21" x14ac:dyDescent="0.35">
      <c r="Q237"/>
      <c r="R237"/>
      <c r="S237"/>
      <c r="T237"/>
      <c r="U237"/>
    </row>
    <row r="238" spans="17:21" x14ac:dyDescent="0.35">
      <c r="Q238"/>
      <c r="R238"/>
      <c r="S238"/>
      <c r="T238"/>
      <c r="U238"/>
    </row>
    <row r="239" spans="17:21" x14ac:dyDescent="0.35">
      <c r="Q239"/>
      <c r="R239"/>
      <c r="S239"/>
      <c r="T239"/>
      <c r="U239"/>
    </row>
    <row r="240" spans="17:21" x14ac:dyDescent="0.35">
      <c r="Q240"/>
      <c r="R240"/>
      <c r="S240"/>
      <c r="T240"/>
      <c r="U240"/>
    </row>
    <row r="241" spans="17:21" x14ac:dyDescent="0.35">
      <c r="Q241"/>
      <c r="R241"/>
      <c r="S241"/>
      <c r="T241"/>
      <c r="U241"/>
    </row>
    <row r="242" spans="17:21" x14ac:dyDescent="0.35">
      <c r="Q242"/>
      <c r="R242"/>
      <c r="S242"/>
      <c r="T242"/>
      <c r="U242"/>
    </row>
    <row r="243" spans="17:21" x14ac:dyDescent="0.35">
      <c r="Q243"/>
      <c r="R243"/>
      <c r="S243"/>
      <c r="T243"/>
      <c r="U243"/>
    </row>
    <row r="244" spans="17:21" x14ac:dyDescent="0.35">
      <c r="Q244"/>
      <c r="R244"/>
      <c r="S244"/>
      <c r="T244"/>
      <c r="U244"/>
    </row>
    <row r="245" spans="17:21" x14ac:dyDescent="0.35">
      <c r="Q245"/>
      <c r="R245"/>
      <c r="S245"/>
      <c r="T245"/>
      <c r="U245"/>
    </row>
    <row r="246" spans="17:21" x14ac:dyDescent="0.35">
      <c r="Q246"/>
      <c r="R246"/>
      <c r="S246"/>
      <c r="T246"/>
      <c r="U246"/>
    </row>
    <row r="247" spans="17:21" x14ac:dyDescent="0.35">
      <c r="Q247"/>
      <c r="R247"/>
      <c r="S247"/>
      <c r="T247"/>
      <c r="U247"/>
    </row>
    <row r="248" spans="17:21" x14ac:dyDescent="0.35">
      <c r="Q248"/>
      <c r="R248"/>
      <c r="S248"/>
      <c r="T248"/>
      <c r="U248"/>
    </row>
  </sheetData>
  <mergeCells count="525">
    <mergeCell ref="I17:J17"/>
    <mergeCell ref="I18:J18"/>
    <mergeCell ref="Q3:S4"/>
    <mergeCell ref="Q5:Q6"/>
    <mergeCell ref="R5:R6"/>
    <mergeCell ref="S5:S6"/>
    <mergeCell ref="T3:T6"/>
    <mergeCell ref="E8:F8"/>
    <mergeCell ref="E9:F9"/>
    <mergeCell ref="E10:F10"/>
    <mergeCell ref="E11:F11"/>
    <mergeCell ref="G9:H9"/>
    <mergeCell ref="G10:H10"/>
    <mergeCell ref="G11:H11"/>
    <mergeCell ref="E7:F7"/>
    <mergeCell ref="N3:P4"/>
    <mergeCell ref="N5:N6"/>
    <mergeCell ref="O5:O6"/>
    <mergeCell ref="P5:P6"/>
    <mergeCell ref="I7:J7"/>
    <mergeCell ref="I8:J8"/>
    <mergeCell ref="I9:J9"/>
    <mergeCell ref="I10:J10"/>
    <mergeCell ref="I11:J11"/>
    <mergeCell ref="K3:M4"/>
    <mergeCell ref="K5:K6"/>
    <mergeCell ref="L5:L6"/>
    <mergeCell ref="M5:M6"/>
    <mergeCell ref="E12:F12"/>
    <mergeCell ref="E15:F15"/>
    <mergeCell ref="E16:F16"/>
    <mergeCell ref="E17:F17"/>
    <mergeCell ref="E18:F18"/>
    <mergeCell ref="E13:F13"/>
    <mergeCell ref="E14:F14"/>
    <mergeCell ref="G7:H7"/>
    <mergeCell ref="G8:H8"/>
    <mergeCell ref="I12:J12"/>
    <mergeCell ref="G16:H16"/>
    <mergeCell ref="G17:H17"/>
    <mergeCell ref="G18:H18"/>
    <mergeCell ref="G14:H14"/>
    <mergeCell ref="G15:H15"/>
    <mergeCell ref="G12:H12"/>
    <mergeCell ref="G13:H13"/>
    <mergeCell ref="I13:J13"/>
    <mergeCell ref="I14:J14"/>
    <mergeCell ref="I15:J15"/>
    <mergeCell ref="C3:C6"/>
    <mergeCell ref="D3:D6"/>
    <mergeCell ref="E3:F6"/>
    <mergeCell ref="G3:H6"/>
    <mergeCell ref="I3:J6"/>
    <mergeCell ref="E23:F23"/>
    <mergeCell ref="G23:H23"/>
    <mergeCell ref="I23:J23"/>
    <mergeCell ref="E24:F24"/>
    <mergeCell ref="G24:H24"/>
    <mergeCell ref="I24:J24"/>
    <mergeCell ref="E21:F21"/>
    <mergeCell ref="G21:H21"/>
    <mergeCell ref="I21:J21"/>
    <mergeCell ref="E22:F22"/>
    <mergeCell ref="G22:H22"/>
    <mergeCell ref="I22:J22"/>
    <mergeCell ref="E20:F20"/>
    <mergeCell ref="E19:F19"/>
    <mergeCell ref="G19:H19"/>
    <mergeCell ref="I19:J19"/>
    <mergeCell ref="G20:H20"/>
    <mergeCell ref="I20:J20"/>
    <mergeCell ref="I16:J16"/>
    <mergeCell ref="E27:F27"/>
    <mergeCell ref="G27:H27"/>
    <mergeCell ref="I27:J27"/>
    <mergeCell ref="E28:F28"/>
    <mergeCell ref="G28:H28"/>
    <mergeCell ref="I28:J28"/>
    <mergeCell ref="E25:F25"/>
    <mergeCell ref="G25:H25"/>
    <mergeCell ref="I25:J25"/>
    <mergeCell ref="E26:F26"/>
    <mergeCell ref="G26:H26"/>
    <mergeCell ref="I26:J26"/>
    <mergeCell ref="E31:F31"/>
    <mergeCell ref="G31:H31"/>
    <mergeCell ref="I31:J31"/>
    <mergeCell ref="E32:F32"/>
    <mergeCell ref="G32:H32"/>
    <mergeCell ref="I32:J32"/>
    <mergeCell ref="E29:F29"/>
    <mergeCell ref="G29:H29"/>
    <mergeCell ref="I29:J29"/>
    <mergeCell ref="E30:F30"/>
    <mergeCell ref="G30:H30"/>
    <mergeCell ref="I30:J30"/>
    <mergeCell ref="E35:F35"/>
    <mergeCell ref="G35:H35"/>
    <mergeCell ref="I35:J35"/>
    <mergeCell ref="E36:F36"/>
    <mergeCell ref="G36:H36"/>
    <mergeCell ref="I36:J36"/>
    <mergeCell ref="E33:F33"/>
    <mergeCell ref="G33:H33"/>
    <mergeCell ref="I33:J33"/>
    <mergeCell ref="E34:F34"/>
    <mergeCell ref="G34:H34"/>
    <mergeCell ref="I34:J34"/>
    <mergeCell ref="E39:F39"/>
    <mergeCell ref="G39:H39"/>
    <mergeCell ref="I39:J39"/>
    <mergeCell ref="E40:F40"/>
    <mergeCell ref="G40:H40"/>
    <mergeCell ref="I40:J40"/>
    <mergeCell ref="E37:F37"/>
    <mergeCell ref="G37:H37"/>
    <mergeCell ref="I37:J37"/>
    <mergeCell ref="E38:F38"/>
    <mergeCell ref="G38:H38"/>
    <mergeCell ref="I38:J38"/>
    <mergeCell ref="E43:F43"/>
    <mergeCell ref="G43:H43"/>
    <mergeCell ref="I43:J43"/>
    <mergeCell ref="E44:F44"/>
    <mergeCell ref="G44:H44"/>
    <mergeCell ref="I44:J44"/>
    <mergeCell ref="E41:F41"/>
    <mergeCell ref="G41:H41"/>
    <mergeCell ref="I41:J41"/>
    <mergeCell ref="E42:F42"/>
    <mergeCell ref="G42:H42"/>
    <mergeCell ref="I42:J42"/>
    <mergeCell ref="E47:F47"/>
    <mergeCell ref="G47:H47"/>
    <mergeCell ref="I47:J47"/>
    <mergeCell ref="E48:F48"/>
    <mergeCell ref="G48:H48"/>
    <mergeCell ref="I48:J48"/>
    <mergeCell ref="E45:F45"/>
    <mergeCell ref="G45:H45"/>
    <mergeCell ref="I45:J45"/>
    <mergeCell ref="E46:F46"/>
    <mergeCell ref="G46:H46"/>
    <mergeCell ref="I46:J46"/>
    <mergeCell ref="E51:F51"/>
    <mergeCell ref="G51:H51"/>
    <mergeCell ref="I51:J51"/>
    <mergeCell ref="E52:F52"/>
    <mergeCell ref="G52:H52"/>
    <mergeCell ref="I52:J52"/>
    <mergeCell ref="E49:F49"/>
    <mergeCell ref="G49:H49"/>
    <mergeCell ref="I49:J49"/>
    <mergeCell ref="E50:F50"/>
    <mergeCell ref="G50:H50"/>
    <mergeCell ref="I50:J50"/>
    <mergeCell ref="E55:F55"/>
    <mergeCell ref="G55:H55"/>
    <mergeCell ref="I55:J55"/>
    <mergeCell ref="E56:F56"/>
    <mergeCell ref="G56:H56"/>
    <mergeCell ref="I56:J56"/>
    <mergeCell ref="E53:F53"/>
    <mergeCell ref="G53:H53"/>
    <mergeCell ref="I53:J53"/>
    <mergeCell ref="E54:F54"/>
    <mergeCell ref="G54:H54"/>
    <mergeCell ref="I54:J54"/>
    <mergeCell ref="E59:F59"/>
    <mergeCell ref="G59:H59"/>
    <mergeCell ref="I59:J59"/>
    <mergeCell ref="E60:F60"/>
    <mergeCell ref="G60:H60"/>
    <mergeCell ref="I60:J60"/>
    <mergeCell ref="E57:F57"/>
    <mergeCell ref="G57:H57"/>
    <mergeCell ref="I57:J57"/>
    <mergeCell ref="E58:F58"/>
    <mergeCell ref="G58:H58"/>
    <mergeCell ref="I58:J58"/>
    <mergeCell ref="E63:F63"/>
    <mergeCell ref="G63:H63"/>
    <mergeCell ref="I63:J63"/>
    <mergeCell ref="E64:F64"/>
    <mergeCell ref="G64:H64"/>
    <mergeCell ref="I64:J64"/>
    <mergeCell ref="E61:F61"/>
    <mergeCell ref="G61:H61"/>
    <mergeCell ref="I61:J61"/>
    <mergeCell ref="E62:F62"/>
    <mergeCell ref="G62:H62"/>
    <mergeCell ref="I62:J62"/>
    <mergeCell ref="E67:F67"/>
    <mergeCell ref="G67:H67"/>
    <mergeCell ref="I67:J67"/>
    <mergeCell ref="E68:F68"/>
    <mergeCell ref="G68:H68"/>
    <mergeCell ref="I68:J68"/>
    <mergeCell ref="E65:F65"/>
    <mergeCell ref="G65:H65"/>
    <mergeCell ref="I65:J65"/>
    <mergeCell ref="E66:F66"/>
    <mergeCell ref="G66:H66"/>
    <mergeCell ref="I66:J66"/>
    <mergeCell ref="E71:F71"/>
    <mergeCell ref="G71:H71"/>
    <mergeCell ref="I71:J71"/>
    <mergeCell ref="E72:F72"/>
    <mergeCell ref="G72:H72"/>
    <mergeCell ref="I72:J72"/>
    <mergeCell ref="E69:F69"/>
    <mergeCell ref="G69:H69"/>
    <mergeCell ref="I69:J69"/>
    <mergeCell ref="E70:F70"/>
    <mergeCell ref="G70:H70"/>
    <mergeCell ref="I70:J70"/>
    <mergeCell ref="E75:F75"/>
    <mergeCell ref="G75:H75"/>
    <mergeCell ref="I75:J75"/>
    <mergeCell ref="E76:F76"/>
    <mergeCell ref="G76:H76"/>
    <mergeCell ref="I76:J76"/>
    <mergeCell ref="E73:F73"/>
    <mergeCell ref="G73:H73"/>
    <mergeCell ref="I73:J73"/>
    <mergeCell ref="E74:F74"/>
    <mergeCell ref="G74:H74"/>
    <mergeCell ref="I74:J74"/>
    <mergeCell ref="E79:F79"/>
    <mergeCell ref="G79:H79"/>
    <mergeCell ref="I79:J79"/>
    <mergeCell ref="E80:F80"/>
    <mergeCell ref="G80:H80"/>
    <mergeCell ref="I80:J80"/>
    <mergeCell ref="E77:F77"/>
    <mergeCell ref="G77:H77"/>
    <mergeCell ref="I77:J77"/>
    <mergeCell ref="E78:F78"/>
    <mergeCell ref="G78:H78"/>
    <mergeCell ref="I78:J78"/>
    <mergeCell ref="E83:F83"/>
    <mergeCell ref="G83:H83"/>
    <mergeCell ref="I83:J83"/>
    <mergeCell ref="E84:F84"/>
    <mergeCell ref="G84:H84"/>
    <mergeCell ref="I84:J84"/>
    <mergeCell ref="E81:F81"/>
    <mergeCell ref="G81:H81"/>
    <mergeCell ref="I81:J81"/>
    <mergeCell ref="E82:F82"/>
    <mergeCell ref="G82:H82"/>
    <mergeCell ref="I82:J82"/>
    <mergeCell ref="E87:F87"/>
    <mergeCell ref="G87:H87"/>
    <mergeCell ref="I87:J87"/>
    <mergeCell ref="E88:F88"/>
    <mergeCell ref="G88:H88"/>
    <mergeCell ref="I88:J88"/>
    <mergeCell ref="E85:F85"/>
    <mergeCell ref="G85:H85"/>
    <mergeCell ref="I85:J85"/>
    <mergeCell ref="E86:F86"/>
    <mergeCell ref="G86:H86"/>
    <mergeCell ref="I86:J86"/>
    <mergeCell ref="E91:F91"/>
    <mergeCell ref="G91:H91"/>
    <mergeCell ref="I91:J91"/>
    <mergeCell ref="E92:F92"/>
    <mergeCell ref="G92:H92"/>
    <mergeCell ref="I92:J92"/>
    <mergeCell ref="E89:F89"/>
    <mergeCell ref="G89:H89"/>
    <mergeCell ref="I89:J89"/>
    <mergeCell ref="E90:F90"/>
    <mergeCell ref="G90:H90"/>
    <mergeCell ref="I90:J90"/>
    <mergeCell ref="E95:F95"/>
    <mergeCell ref="G95:H95"/>
    <mergeCell ref="I95:J95"/>
    <mergeCell ref="E96:F96"/>
    <mergeCell ref="G96:H96"/>
    <mergeCell ref="I96:J96"/>
    <mergeCell ref="E93:F93"/>
    <mergeCell ref="G93:H93"/>
    <mergeCell ref="I93:J93"/>
    <mergeCell ref="E94:F94"/>
    <mergeCell ref="G94:H94"/>
    <mergeCell ref="I94:J94"/>
    <mergeCell ref="E99:F99"/>
    <mergeCell ref="G99:H99"/>
    <mergeCell ref="I99:J99"/>
    <mergeCell ref="E100:F100"/>
    <mergeCell ref="G100:H100"/>
    <mergeCell ref="I100:J100"/>
    <mergeCell ref="E97:F97"/>
    <mergeCell ref="G97:H97"/>
    <mergeCell ref="I97:J97"/>
    <mergeCell ref="E98:F98"/>
    <mergeCell ref="G98:H98"/>
    <mergeCell ref="I98:J98"/>
    <mergeCell ref="E103:F103"/>
    <mergeCell ref="G103:H103"/>
    <mergeCell ref="I103:J103"/>
    <mergeCell ref="E104:F104"/>
    <mergeCell ref="G104:H104"/>
    <mergeCell ref="I104:J104"/>
    <mergeCell ref="E101:F101"/>
    <mergeCell ref="G101:H101"/>
    <mergeCell ref="I101:J101"/>
    <mergeCell ref="E102:F102"/>
    <mergeCell ref="G102:H102"/>
    <mergeCell ref="I102:J102"/>
    <mergeCell ref="E107:F107"/>
    <mergeCell ref="G107:H107"/>
    <mergeCell ref="I107:J107"/>
    <mergeCell ref="E108:F108"/>
    <mergeCell ref="G108:H108"/>
    <mergeCell ref="I108:J108"/>
    <mergeCell ref="E105:F105"/>
    <mergeCell ref="G105:H105"/>
    <mergeCell ref="I105:J105"/>
    <mergeCell ref="E106:F106"/>
    <mergeCell ref="G106:H106"/>
    <mergeCell ref="I106:J106"/>
    <mergeCell ref="E111:F111"/>
    <mergeCell ref="G111:H111"/>
    <mergeCell ref="I111:J111"/>
    <mergeCell ref="E112:F112"/>
    <mergeCell ref="G112:H112"/>
    <mergeCell ref="I112:J112"/>
    <mergeCell ref="E109:F109"/>
    <mergeCell ref="G109:H109"/>
    <mergeCell ref="I109:J109"/>
    <mergeCell ref="E110:F110"/>
    <mergeCell ref="G110:H110"/>
    <mergeCell ref="I110:J110"/>
    <mergeCell ref="E115:F115"/>
    <mergeCell ref="G115:H115"/>
    <mergeCell ref="I115:J115"/>
    <mergeCell ref="E116:F116"/>
    <mergeCell ref="G116:H116"/>
    <mergeCell ref="I116:J116"/>
    <mergeCell ref="E113:F113"/>
    <mergeCell ref="G113:H113"/>
    <mergeCell ref="I113:J113"/>
    <mergeCell ref="E114:F114"/>
    <mergeCell ref="G114:H114"/>
    <mergeCell ref="I114:J114"/>
    <mergeCell ref="E119:F119"/>
    <mergeCell ref="G119:H119"/>
    <mergeCell ref="I119:J119"/>
    <mergeCell ref="E120:F120"/>
    <mergeCell ref="G120:H120"/>
    <mergeCell ref="I120:J120"/>
    <mergeCell ref="E117:F117"/>
    <mergeCell ref="G117:H117"/>
    <mergeCell ref="I117:J117"/>
    <mergeCell ref="E118:F118"/>
    <mergeCell ref="G118:H118"/>
    <mergeCell ref="I118:J118"/>
    <mergeCell ref="E123:F123"/>
    <mergeCell ref="G123:H123"/>
    <mergeCell ref="I123:J123"/>
    <mergeCell ref="E124:F124"/>
    <mergeCell ref="G124:H124"/>
    <mergeCell ref="I124:J124"/>
    <mergeCell ref="E121:F121"/>
    <mergeCell ref="G121:H121"/>
    <mergeCell ref="I121:J121"/>
    <mergeCell ref="E122:F122"/>
    <mergeCell ref="G122:H122"/>
    <mergeCell ref="I122:J122"/>
    <mergeCell ref="E127:F127"/>
    <mergeCell ref="G127:H127"/>
    <mergeCell ref="I127:J127"/>
    <mergeCell ref="E128:F128"/>
    <mergeCell ref="G128:H128"/>
    <mergeCell ref="I128:J128"/>
    <mergeCell ref="E125:F125"/>
    <mergeCell ref="G125:H125"/>
    <mergeCell ref="I125:J125"/>
    <mergeCell ref="E126:F126"/>
    <mergeCell ref="G126:H126"/>
    <mergeCell ref="I126:J126"/>
    <mergeCell ref="E131:F131"/>
    <mergeCell ref="G131:H131"/>
    <mergeCell ref="I131:J131"/>
    <mergeCell ref="E132:F132"/>
    <mergeCell ref="G132:H132"/>
    <mergeCell ref="I132:J132"/>
    <mergeCell ref="E129:F129"/>
    <mergeCell ref="G129:H129"/>
    <mergeCell ref="I129:J129"/>
    <mergeCell ref="E130:F130"/>
    <mergeCell ref="G130:H130"/>
    <mergeCell ref="I130:J130"/>
    <mergeCell ref="E135:F135"/>
    <mergeCell ref="G135:H135"/>
    <mergeCell ref="I135:J135"/>
    <mergeCell ref="E136:F136"/>
    <mergeCell ref="G136:H136"/>
    <mergeCell ref="I136:J136"/>
    <mergeCell ref="E133:F133"/>
    <mergeCell ref="G133:H133"/>
    <mergeCell ref="I133:J133"/>
    <mergeCell ref="E134:F134"/>
    <mergeCell ref="G134:H134"/>
    <mergeCell ref="I134:J134"/>
    <mergeCell ref="E139:F139"/>
    <mergeCell ref="G139:H139"/>
    <mergeCell ref="I139:J139"/>
    <mergeCell ref="E140:F140"/>
    <mergeCell ref="G140:H140"/>
    <mergeCell ref="I140:J140"/>
    <mergeCell ref="E137:F137"/>
    <mergeCell ref="G137:H137"/>
    <mergeCell ref="I137:J137"/>
    <mergeCell ref="E138:F138"/>
    <mergeCell ref="G138:H138"/>
    <mergeCell ref="I138:J138"/>
    <mergeCell ref="E143:F143"/>
    <mergeCell ref="G143:H143"/>
    <mergeCell ref="I143:J143"/>
    <mergeCell ref="E144:F144"/>
    <mergeCell ref="G144:H144"/>
    <mergeCell ref="I144:J144"/>
    <mergeCell ref="E141:F141"/>
    <mergeCell ref="G141:H141"/>
    <mergeCell ref="I141:J141"/>
    <mergeCell ref="E142:F142"/>
    <mergeCell ref="G142:H142"/>
    <mergeCell ref="I142:J142"/>
    <mergeCell ref="E147:F147"/>
    <mergeCell ref="G147:H147"/>
    <mergeCell ref="I147:J147"/>
    <mergeCell ref="E148:F148"/>
    <mergeCell ref="G148:H148"/>
    <mergeCell ref="I148:J148"/>
    <mergeCell ref="E145:F145"/>
    <mergeCell ref="G145:H145"/>
    <mergeCell ref="I145:J145"/>
    <mergeCell ref="E146:F146"/>
    <mergeCell ref="G146:H146"/>
    <mergeCell ref="I146:J146"/>
    <mergeCell ref="E151:F151"/>
    <mergeCell ref="G151:H151"/>
    <mergeCell ref="I151:J151"/>
    <mergeCell ref="E152:F152"/>
    <mergeCell ref="G152:H152"/>
    <mergeCell ref="I152:J152"/>
    <mergeCell ref="E149:F149"/>
    <mergeCell ref="G149:H149"/>
    <mergeCell ref="I149:J149"/>
    <mergeCell ref="E150:F150"/>
    <mergeCell ref="G150:H150"/>
    <mergeCell ref="I150:J150"/>
    <mergeCell ref="E155:F155"/>
    <mergeCell ref="G155:H155"/>
    <mergeCell ref="I155:J155"/>
    <mergeCell ref="E156:F156"/>
    <mergeCell ref="G156:H156"/>
    <mergeCell ref="I156:J156"/>
    <mergeCell ref="E153:F153"/>
    <mergeCell ref="G153:H153"/>
    <mergeCell ref="I153:J153"/>
    <mergeCell ref="E154:F154"/>
    <mergeCell ref="G154:H154"/>
    <mergeCell ref="I154:J154"/>
    <mergeCell ref="E159:F159"/>
    <mergeCell ref="G159:H159"/>
    <mergeCell ref="I159:J159"/>
    <mergeCell ref="E160:F160"/>
    <mergeCell ref="G160:H160"/>
    <mergeCell ref="I160:J160"/>
    <mergeCell ref="E157:F157"/>
    <mergeCell ref="G157:H157"/>
    <mergeCell ref="I157:J157"/>
    <mergeCell ref="E158:F158"/>
    <mergeCell ref="G158:H158"/>
    <mergeCell ref="I158:J158"/>
    <mergeCell ref="E163:F163"/>
    <mergeCell ref="G163:H163"/>
    <mergeCell ref="I163:J163"/>
    <mergeCell ref="E164:F164"/>
    <mergeCell ref="G164:H164"/>
    <mergeCell ref="I164:J164"/>
    <mergeCell ref="E161:F161"/>
    <mergeCell ref="G161:H161"/>
    <mergeCell ref="I161:J161"/>
    <mergeCell ref="E162:F162"/>
    <mergeCell ref="G162:H162"/>
    <mergeCell ref="I162:J162"/>
    <mergeCell ref="E167:F167"/>
    <mergeCell ref="G167:H167"/>
    <mergeCell ref="I167:J167"/>
    <mergeCell ref="E168:F168"/>
    <mergeCell ref="G168:H168"/>
    <mergeCell ref="I168:J168"/>
    <mergeCell ref="E165:F165"/>
    <mergeCell ref="G165:H165"/>
    <mergeCell ref="I165:J165"/>
    <mergeCell ref="E166:F166"/>
    <mergeCell ref="G166:H166"/>
    <mergeCell ref="I166:J166"/>
    <mergeCell ref="E171:F171"/>
    <mergeCell ref="G171:H171"/>
    <mergeCell ref="I171:J171"/>
    <mergeCell ref="E172:F172"/>
    <mergeCell ref="G172:H172"/>
    <mergeCell ref="I172:J172"/>
    <mergeCell ref="E169:F169"/>
    <mergeCell ref="G169:H169"/>
    <mergeCell ref="I169:J169"/>
    <mergeCell ref="E170:F170"/>
    <mergeCell ref="G170:H170"/>
    <mergeCell ref="I170:J170"/>
    <mergeCell ref="E175:F175"/>
    <mergeCell ref="G175:H175"/>
    <mergeCell ref="I175:J175"/>
    <mergeCell ref="E173:F173"/>
    <mergeCell ref="G173:H173"/>
    <mergeCell ref="I173:J173"/>
    <mergeCell ref="E174:F174"/>
    <mergeCell ref="G174:H174"/>
    <mergeCell ref="I174:J17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Dashboard</vt:lpstr>
      <vt:lpstr>Weekly_Report</vt:lpstr>
      <vt:lpstr>Monthly_report</vt:lpstr>
      <vt:lpstr>Monthly</vt:lpstr>
      <vt:lpstr>Weelky</vt:lpstr>
      <vt:lpstr>Daily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Mehul Sachdeva</dc:creator>
  <cp:lastModifiedBy>Mehul Sachdeva</cp:lastModifiedBy>
  <dcterms:created xsi:type="dcterms:W3CDTF">2017-07-04T05:58:44Z</dcterms:created>
  <dcterms:modified xsi:type="dcterms:W3CDTF">2019-05-13T04:07:19Z</dcterms:modified>
</cp:coreProperties>
</file>